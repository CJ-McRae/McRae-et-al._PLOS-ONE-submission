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cuser\Desktop\"/>
    </mc:Choice>
  </mc:AlternateContent>
  <bookViews>
    <workbookView xWindow="0" yWindow="0" windowWidth="28800" windowHeight="12330" activeTab="5"/>
  </bookViews>
  <sheets>
    <sheet name="sample1" sheetId="1" r:id="rId1"/>
    <sheet name="sample3" sheetId="2" r:id="rId2"/>
    <sheet name="sample5" sheetId="3" r:id="rId3"/>
    <sheet name="sample6" sheetId="4" r:id="rId4"/>
    <sheet name="sample7" sheetId="5" r:id="rId5"/>
    <sheet name="sample8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" i="6" l="1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" i="6"/>
  <c r="Z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" i="6"/>
  <c r="Y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" i="6"/>
  <c r="X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" i="6"/>
  <c r="W2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" i="6"/>
  <c r="U2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" i="6"/>
  <c r="T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" i="6"/>
  <c r="S2" i="6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" i="5"/>
  <c r="Z2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" i="5"/>
  <c r="Y2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" i="5"/>
  <c r="X2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" i="5"/>
  <c r="W2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" i="5"/>
  <c r="V2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" i="5"/>
  <c r="U2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" i="5"/>
  <c r="T2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" i="5"/>
  <c r="S2" i="5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" i="4"/>
  <c r="AB2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" i="4"/>
  <c r="AA2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" i="4"/>
  <c r="Z2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" i="4"/>
  <c r="Y2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" i="4"/>
  <c r="X2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" i="4"/>
  <c r="W2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" i="4"/>
  <c r="V2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" i="4"/>
  <c r="U2" i="4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" i="3"/>
  <c r="AB2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" i="3"/>
  <c r="AA2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" i="3"/>
  <c r="Z2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" i="3"/>
  <c r="Y2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2" i="3"/>
  <c r="X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" i="3"/>
  <c r="W2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" i="3"/>
  <c r="V2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" i="3"/>
  <c r="U2" i="3"/>
  <c r="AC36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" i="2"/>
  <c r="AC2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" i="2"/>
  <c r="AB2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" i="2"/>
  <c r="AA2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" i="2"/>
  <c r="Z2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" i="2"/>
  <c r="Y2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2" i="2"/>
  <c r="X3" i="2"/>
  <c r="W3" i="2"/>
  <c r="W2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" i="2"/>
  <c r="V2" i="2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4" i="1"/>
  <c r="AD3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4" i="1"/>
  <c r="AC3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4" i="1"/>
  <c r="AB3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4" i="1"/>
  <c r="AA3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4" i="1"/>
  <c r="Z3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4" i="1"/>
  <c r="Y3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4" i="1"/>
  <c r="X3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4" i="1"/>
  <c r="W3" i="1"/>
</calcChain>
</file>

<file path=xl/sharedStrings.xml><?xml version="1.0" encoding="utf-8"?>
<sst xmlns="http://schemas.openxmlformats.org/spreadsheetml/2006/main" count="67" uniqueCount="27">
  <si>
    <t>A1</t>
    <phoneticPr fontId="0" type="noConversion"/>
  </si>
  <si>
    <t>B1</t>
    <phoneticPr fontId="0" type="noConversion"/>
  </si>
  <si>
    <t>C1</t>
    <phoneticPr fontId="0" type="noConversion"/>
  </si>
  <si>
    <t>summer.1c</t>
  </si>
  <si>
    <t>summer1.d</t>
  </si>
  <si>
    <t>winter1.c</t>
  </si>
  <si>
    <t>winter1.d</t>
  </si>
  <si>
    <t>spring1.c</t>
  </si>
  <si>
    <t>spring1.d</t>
  </si>
  <si>
    <t>fall1.c</t>
  </si>
  <si>
    <t>fall.1.d</t>
  </si>
  <si>
    <t>summer(C)</t>
  </si>
  <si>
    <t>winter(C)</t>
  </si>
  <si>
    <t>spring(C)</t>
  </si>
  <si>
    <t>fall(C)</t>
  </si>
  <si>
    <t>summer(D)</t>
  </si>
  <si>
    <t>winter(D)</t>
  </si>
  <si>
    <t>spring(D)</t>
  </si>
  <si>
    <t>fall(D)</t>
  </si>
  <si>
    <t>summer3c</t>
  </si>
  <si>
    <t>summer3d</t>
  </si>
  <si>
    <t>winter3c</t>
  </si>
  <si>
    <t>winter3d</t>
  </si>
  <si>
    <t>spring3c</t>
  </si>
  <si>
    <t>spring3d</t>
  </si>
  <si>
    <t>fall3c</t>
  </si>
  <si>
    <t>fall3.d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</si>
</sst>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>
    <font>
      <sz val="11"/>
      <color theme="1"/>
      <name val="Calibri"/>
      <family val="2"/>
      <charset val="136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Acropora</a:t>
            </a:r>
            <a:r>
              <a:rPr lang="en-US" baseline="0"/>
              <a:t> nana (WLT)1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sample1!$W$2</c:f>
              <c:strCache>
                <c:ptCount val="1"/>
                <c:pt idx="0">
                  <c:v>summer(C)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sample1!$V$3:$V$37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sample1!$W$3:$W$37</c:f>
              <c:numCache>
                <c:formatCode>#,##0.000</c:formatCode>
                <c:ptCount val="35"/>
                <c:pt idx="0">
                  <c:v>-2809.270955403646</c:v>
                </c:pt>
                <c:pt idx="1">
                  <c:v>-2002.001708984375</c:v>
                </c:pt>
                <c:pt idx="2">
                  <c:v>-542.83016967773438</c:v>
                </c:pt>
                <c:pt idx="3">
                  <c:v>369.45595010121662</c:v>
                </c:pt>
                <c:pt idx="4">
                  <c:v>213.58452208836874</c:v>
                </c:pt>
                <c:pt idx="5">
                  <c:v>316.28469340006512</c:v>
                </c:pt>
                <c:pt idx="6">
                  <c:v>-183.24169254302979</c:v>
                </c:pt>
                <c:pt idx="7">
                  <c:v>-27.007654825846355</c:v>
                </c:pt>
                <c:pt idx="8">
                  <c:v>293.26022338867188</c:v>
                </c:pt>
                <c:pt idx="9">
                  <c:v>1031.0437349677086</c:v>
                </c:pt>
                <c:pt idx="10">
                  <c:v>2970.290812174479</c:v>
                </c:pt>
                <c:pt idx="11">
                  <c:v>5100.12890625</c:v>
                </c:pt>
                <c:pt idx="12">
                  <c:v>10007.162760416666</c:v>
                </c:pt>
                <c:pt idx="13">
                  <c:v>18786.385416666668</c:v>
                </c:pt>
                <c:pt idx="14">
                  <c:v>36230.37890625</c:v>
                </c:pt>
                <c:pt idx="15">
                  <c:v>67704.83984375</c:v>
                </c:pt>
                <c:pt idx="16">
                  <c:v>119727.55208333333</c:v>
                </c:pt>
                <c:pt idx="17">
                  <c:v>192343.58333333334</c:v>
                </c:pt>
                <c:pt idx="18">
                  <c:v>274531.390625</c:v>
                </c:pt>
                <c:pt idx="19">
                  <c:v>352129.30208333331</c:v>
                </c:pt>
                <c:pt idx="20">
                  <c:v>418954.5625</c:v>
                </c:pt>
                <c:pt idx="21">
                  <c:v>474379.75</c:v>
                </c:pt>
                <c:pt idx="22">
                  <c:v>518955.875</c:v>
                </c:pt>
                <c:pt idx="23">
                  <c:v>554109.63541666663</c:v>
                </c:pt>
                <c:pt idx="24">
                  <c:v>582574.53125</c:v>
                </c:pt>
                <c:pt idx="25">
                  <c:v>604790.75</c:v>
                </c:pt>
                <c:pt idx="26">
                  <c:v>622200.78125</c:v>
                </c:pt>
                <c:pt idx="27">
                  <c:v>636400.66666666663</c:v>
                </c:pt>
                <c:pt idx="28">
                  <c:v>648213.98958333337</c:v>
                </c:pt>
                <c:pt idx="29">
                  <c:v>656815.79166666663</c:v>
                </c:pt>
                <c:pt idx="30">
                  <c:v>663010.57291666663</c:v>
                </c:pt>
                <c:pt idx="31">
                  <c:v>667304.83333333337</c:v>
                </c:pt>
                <c:pt idx="32">
                  <c:v>670795.84375</c:v>
                </c:pt>
                <c:pt idx="33">
                  <c:v>673235.54166666663</c:v>
                </c:pt>
                <c:pt idx="34">
                  <c:v>673647.46875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A8-4C9B-9D6A-3FB17B81BB58}"/>
            </c:ext>
          </c:extLst>
        </c:ser>
        <c:ser>
          <c:idx val="1"/>
          <c:order val="1"/>
          <c:tx>
            <c:strRef>
              <c:f>sample1!$X$2</c:f>
              <c:strCache>
                <c:ptCount val="1"/>
                <c:pt idx="0">
                  <c:v>winter(C)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sample1!$V$3:$V$37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sample1!$X$3:$X$37</c:f>
              <c:numCache>
                <c:formatCode>#,##0.000</c:formatCode>
                <c:ptCount val="35"/>
                <c:pt idx="0">
                  <c:v>-1531.700927734375</c:v>
                </c:pt>
                <c:pt idx="1">
                  <c:v>-1685.3048909505208</c:v>
                </c:pt>
                <c:pt idx="2">
                  <c:v>-529.92705281575525</c:v>
                </c:pt>
                <c:pt idx="3">
                  <c:v>421.52108764648438</c:v>
                </c:pt>
                <c:pt idx="4">
                  <c:v>268.50047047932941</c:v>
                </c:pt>
                <c:pt idx="5">
                  <c:v>111.58141326904297</c:v>
                </c:pt>
                <c:pt idx="6">
                  <c:v>-139.59025065104166</c:v>
                </c:pt>
                <c:pt idx="7">
                  <c:v>-35.386906941731773</c:v>
                </c:pt>
                <c:pt idx="8">
                  <c:v>-118.92055002848308</c:v>
                </c:pt>
                <c:pt idx="9">
                  <c:v>-11.935946146647135</c:v>
                </c:pt>
                <c:pt idx="10">
                  <c:v>703.73611577351892</c:v>
                </c:pt>
                <c:pt idx="11">
                  <c:v>2552.8717041015625</c:v>
                </c:pt>
                <c:pt idx="12">
                  <c:v>5749.924153645833</c:v>
                </c:pt>
                <c:pt idx="13">
                  <c:v>11076.421875</c:v>
                </c:pt>
                <c:pt idx="14">
                  <c:v>21866.958984375</c:v>
                </c:pt>
                <c:pt idx="15">
                  <c:v>40473.296875</c:v>
                </c:pt>
                <c:pt idx="16">
                  <c:v>71937.296875</c:v>
                </c:pt>
                <c:pt idx="17">
                  <c:v>115774.70833333333</c:v>
                </c:pt>
                <c:pt idx="18">
                  <c:v>167002.83854166666</c:v>
                </c:pt>
                <c:pt idx="19">
                  <c:v>218448.96875</c:v>
                </c:pt>
                <c:pt idx="20">
                  <c:v>266736.265625</c:v>
                </c:pt>
                <c:pt idx="21">
                  <c:v>309535.41666666669</c:v>
                </c:pt>
                <c:pt idx="22">
                  <c:v>346414.78125</c:v>
                </c:pt>
                <c:pt idx="23">
                  <c:v>377658.65625</c:v>
                </c:pt>
                <c:pt idx="24">
                  <c:v>403525.92708333331</c:v>
                </c:pt>
                <c:pt idx="25">
                  <c:v>425473.35416666669</c:v>
                </c:pt>
                <c:pt idx="26">
                  <c:v>443245.77083333331</c:v>
                </c:pt>
                <c:pt idx="27">
                  <c:v>458339.33333333331</c:v>
                </c:pt>
                <c:pt idx="28">
                  <c:v>470931.30208333331</c:v>
                </c:pt>
                <c:pt idx="29">
                  <c:v>481137.6875</c:v>
                </c:pt>
                <c:pt idx="30">
                  <c:v>489887.80208333331</c:v>
                </c:pt>
                <c:pt idx="31">
                  <c:v>497102.61458333331</c:v>
                </c:pt>
                <c:pt idx="32">
                  <c:v>502591.66666666669</c:v>
                </c:pt>
                <c:pt idx="33">
                  <c:v>506515.98958333331</c:v>
                </c:pt>
                <c:pt idx="34">
                  <c:v>509008.34375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A8-4C9B-9D6A-3FB17B81BB58}"/>
            </c:ext>
          </c:extLst>
        </c:ser>
        <c:ser>
          <c:idx val="2"/>
          <c:order val="2"/>
          <c:tx>
            <c:strRef>
              <c:f>sample1!$Y$2</c:f>
              <c:strCache>
                <c:ptCount val="1"/>
                <c:pt idx="0">
                  <c:v>spring(C)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sample1!$V$3:$V$37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sample1!$Y$3:$Y$37</c:f>
              <c:numCache>
                <c:formatCode>#,##0.000</c:formatCode>
                <c:ptCount val="35"/>
                <c:pt idx="0">
                  <c:v>-1286.0990702311199</c:v>
                </c:pt>
                <c:pt idx="1">
                  <c:v>-857.22548421223962</c:v>
                </c:pt>
                <c:pt idx="2">
                  <c:v>-520.5660400390625</c:v>
                </c:pt>
                <c:pt idx="3">
                  <c:v>-156.70873006184897</c:v>
                </c:pt>
                <c:pt idx="4">
                  <c:v>229.03009541829428</c:v>
                </c:pt>
                <c:pt idx="5">
                  <c:v>253.29431279500326</c:v>
                </c:pt>
                <c:pt idx="6">
                  <c:v>124.44853210449219</c:v>
                </c:pt>
                <c:pt idx="7">
                  <c:v>-168.75405629475912</c:v>
                </c:pt>
                <c:pt idx="8">
                  <c:v>-271.15388294061023</c:v>
                </c:pt>
                <c:pt idx="9">
                  <c:v>-99.887062072753906</c:v>
                </c:pt>
                <c:pt idx="10">
                  <c:v>-97.185990651448563</c:v>
                </c:pt>
                <c:pt idx="11">
                  <c:v>-19.449757893880207</c:v>
                </c:pt>
                <c:pt idx="12">
                  <c:v>262.32161523898441</c:v>
                </c:pt>
                <c:pt idx="13">
                  <c:v>148.95564015706381</c:v>
                </c:pt>
                <c:pt idx="14">
                  <c:v>-107.85825602213542</c:v>
                </c:pt>
                <c:pt idx="15">
                  <c:v>25.423533121744793</c:v>
                </c:pt>
                <c:pt idx="16">
                  <c:v>459.94037628173828</c:v>
                </c:pt>
                <c:pt idx="17">
                  <c:v>49.305501302083336</c:v>
                </c:pt>
                <c:pt idx="18">
                  <c:v>-76.960230509440109</c:v>
                </c:pt>
                <c:pt idx="19">
                  <c:v>98.201788902282715</c:v>
                </c:pt>
                <c:pt idx="20">
                  <c:v>401.53111267089844</c:v>
                </c:pt>
                <c:pt idx="21">
                  <c:v>291.07268778483075</c:v>
                </c:pt>
                <c:pt idx="22">
                  <c:v>74.544593175252274</c:v>
                </c:pt>
                <c:pt idx="23">
                  <c:v>-188.41840108235678</c:v>
                </c:pt>
                <c:pt idx="24">
                  <c:v>143.91677856445313</c:v>
                </c:pt>
                <c:pt idx="25">
                  <c:v>-58.91534423828125</c:v>
                </c:pt>
                <c:pt idx="26">
                  <c:v>-194.9538548787435</c:v>
                </c:pt>
                <c:pt idx="27">
                  <c:v>-193.95590909322104</c:v>
                </c:pt>
                <c:pt idx="28">
                  <c:v>-333.18062210083008</c:v>
                </c:pt>
                <c:pt idx="29">
                  <c:v>53.567331949869789</c:v>
                </c:pt>
                <c:pt idx="30">
                  <c:v>132.27165857950845</c:v>
                </c:pt>
                <c:pt idx="31">
                  <c:v>-159.66334279378256</c:v>
                </c:pt>
                <c:pt idx="32">
                  <c:v>-157.78713194529215</c:v>
                </c:pt>
                <c:pt idx="33">
                  <c:v>200.21471977233887</c:v>
                </c:pt>
                <c:pt idx="34">
                  <c:v>331.31422932942706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A8-4C9B-9D6A-3FB17B81BB58}"/>
            </c:ext>
          </c:extLst>
        </c:ser>
        <c:ser>
          <c:idx val="3"/>
          <c:order val="3"/>
          <c:tx>
            <c:strRef>
              <c:f>sample1!$Z$2</c:f>
              <c:strCache>
                <c:ptCount val="1"/>
                <c:pt idx="0">
                  <c:v>fall(C)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sample1!$V$3:$V$37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sample1!$Z$3:$Z$37</c:f>
              <c:numCache>
                <c:formatCode>#,##0.000</c:formatCode>
                <c:ptCount val="35"/>
                <c:pt idx="0">
                  <c:v>-927.85152180989587</c:v>
                </c:pt>
                <c:pt idx="1">
                  <c:v>-827.83270263671875</c:v>
                </c:pt>
                <c:pt idx="2">
                  <c:v>-328.22017415364581</c:v>
                </c:pt>
                <c:pt idx="3">
                  <c:v>-15.357640584309896</c:v>
                </c:pt>
                <c:pt idx="4">
                  <c:v>288.6897913614909</c:v>
                </c:pt>
                <c:pt idx="5">
                  <c:v>358.47159004211426</c:v>
                </c:pt>
                <c:pt idx="6">
                  <c:v>12.185700734456381</c:v>
                </c:pt>
                <c:pt idx="7">
                  <c:v>-208.43612925211588</c:v>
                </c:pt>
                <c:pt idx="8">
                  <c:v>-199.02933756510416</c:v>
                </c:pt>
                <c:pt idx="9">
                  <c:v>304.97121874491376</c:v>
                </c:pt>
                <c:pt idx="10">
                  <c:v>1056.1384684244792</c:v>
                </c:pt>
                <c:pt idx="11">
                  <c:v>2251.0322062174478</c:v>
                </c:pt>
                <c:pt idx="12">
                  <c:v>5023.428629557292</c:v>
                </c:pt>
                <c:pt idx="13">
                  <c:v>9502.970703125</c:v>
                </c:pt>
                <c:pt idx="14">
                  <c:v>18790.294270833332</c:v>
                </c:pt>
                <c:pt idx="15">
                  <c:v>36107.817708333336</c:v>
                </c:pt>
                <c:pt idx="16">
                  <c:v>65112.354166666664</c:v>
                </c:pt>
                <c:pt idx="17">
                  <c:v>107718.88541666667</c:v>
                </c:pt>
                <c:pt idx="18">
                  <c:v>158381.47916666666</c:v>
                </c:pt>
                <c:pt idx="19">
                  <c:v>209583.58333333334</c:v>
                </c:pt>
                <c:pt idx="20">
                  <c:v>257451.578125</c:v>
                </c:pt>
                <c:pt idx="21">
                  <c:v>299720.93229166669</c:v>
                </c:pt>
                <c:pt idx="22">
                  <c:v>335875.55208333331</c:v>
                </c:pt>
                <c:pt idx="23">
                  <c:v>366609.82291666669</c:v>
                </c:pt>
                <c:pt idx="24">
                  <c:v>392514.35416666669</c:v>
                </c:pt>
                <c:pt idx="25">
                  <c:v>414580</c:v>
                </c:pt>
                <c:pt idx="26">
                  <c:v>432924.07291666669</c:v>
                </c:pt>
                <c:pt idx="27">
                  <c:v>449003.5</c:v>
                </c:pt>
                <c:pt idx="28">
                  <c:v>462074.92708333331</c:v>
                </c:pt>
                <c:pt idx="29">
                  <c:v>473916.27083333331</c:v>
                </c:pt>
                <c:pt idx="30">
                  <c:v>483598.66666666669</c:v>
                </c:pt>
                <c:pt idx="31">
                  <c:v>492194.83333333331</c:v>
                </c:pt>
                <c:pt idx="32">
                  <c:v>499501.34375</c:v>
                </c:pt>
                <c:pt idx="33">
                  <c:v>506089.48958333331</c:v>
                </c:pt>
                <c:pt idx="34">
                  <c:v>511016.8125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CA8-4C9B-9D6A-3FB17B81BB58}"/>
            </c:ext>
          </c:extLst>
        </c:ser>
        <c:ser>
          <c:idx val="4"/>
          <c:order val="4"/>
          <c:tx>
            <c:strRef>
              <c:f>sample1!$AA$2</c:f>
              <c:strCache>
                <c:ptCount val="1"/>
                <c:pt idx="0">
                  <c:v>summer(D)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sample1!$V$3:$V$37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sample1!$AA$3:$AA$37</c:f>
              <c:numCache>
                <c:formatCode>#,##0.000</c:formatCode>
                <c:ptCount val="35"/>
                <c:pt idx="0">
                  <c:v>-8437.8500162760411</c:v>
                </c:pt>
                <c:pt idx="1">
                  <c:v>-6850.365966796875</c:v>
                </c:pt>
                <c:pt idx="2">
                  <c:v>-3814.629191080729</c:v>
                </c:pt>
                <c:pt idx="3">
                  <c:v>-2044.4496663411458</c:v>
                </c:pt>
                <c:pt idx="4">
                  <c:v>-818.99164326985681</c:v>
                </c:pt>
                <c:pt idx="5">
                  <c:v>318.62534077962238</c:v>
                </c:pt>
                <c:pt idx="6">
                  <c:v>609.46623738606775</c:v>
                </c:pt>
                <c:pt idx="7">
                  <c:v>595.6873881022135</c:v>
                </c:pt>
                <c:pt idx="8">
                  <c:v>717.89023844401038</c:v>
                </c:pt>
                <c:pt idx="9">
                  <c:v>1858.2754313151042</c:v>
                </c:pt>
                <c:pt idx="10">
                  <c:v>1841.4027913411458</c:v>
                </c:pt>
                <c:pt idx="11">
                  <c:v>1470.2827962239583</c:v>
                </c:pt>
                <c:pt idx="12">
                  <c:v>1246.2122802734375</c:v>
                </c:pt>
                <c:pt idx="13">
                  <c:v>1403.2250569661458</c:v>
                </c:pt>
                <c:pt idx="14">
                  <c:v>861.96958414713538</c:v>
                </c:pt>
                <c:pt idx="15">
                  <c:v>234.81049601236978</c:v>
                </c:pt>
                <c:pt idx="16">
                  <c:v>-28.502227783203125</c:v>
                </c:pt>
                <c:pt idx="17">
                  <c:v>-10.656102498372396</c:v>
                </c:pt>
                <c:pt idx="18">
                  <c:v>-297.14852905273438</c:v>
                </c:pt>
                <c:pt idx="19">
                  <c:v>-388.07323201497394</c:v>
                </c:pt>
                <c:pt idx="20">
                  <c:v>-807.89896647135413</c:v>
                </c:pt>
                <c:pt idx="21">
                  <c:v>-981.7794087727865</c:v>
                </c:pt>
                <c:pt idx="22">
                  <c:v>-872.47239685058594</c:v>
                </c:pt>
                <c:pt idx="23">
                  <c:v>-566.54032135009766</c:v>
                </c:pt>
                <c:pt idx="24">
                  <c:v>-956.93898518880212</c:v>
                </c:pt>
                <c:pt idx="25">
                  <c:v>-777.41838582356775</c:v>
                </c:pt>
                <c:pt idx="26">
                  <c:v>-580.73112042744958</c:v>
                </c:pt>
                <c:pt idx="27">
                  <c:v>130.22438557942709</c:v>
                </c:pt>
                <c:pt idx="28">
                  <c:v>2375.908976236979</c:v>
                </c:pt>
                <c:pt idx="29">
                  <c:v>7136.137939453125</c:v>
                </c:pt>
                <c:pt idx="30">
                  <c:v>15624.9658203125</c:v>
                </c:pt>
                <c:pt idx="31">
                  <c:v>31544.145182291668</c:v>
                </c:pt>
                <c:pt idx="32">
                  <c:v>59475.511067708336</c:v>
                </c:pt>
                <c:pt idx="33">
                  <c:v>105078.19401041667</c:v>
                </c:pt>
                <c:pt idx="34">
                  <c:v>157729.0234375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CA8-4C9B-9D6A-3FB17B81BB58}"/>
            </c:ext>
          </c:extLst>
        </c:ser>
        <c:ser>
          <c:idx val="5"/>
          <c:order val="5"/>
          <c:tx>
            <c:strRef>
              <c:f>sample1!$AB$2</c:f>
              <c:strCache>
                <c:ptCount val="1"/>
                <c:pt idx="0">
                  <c:v>winter(D)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sample1!$V$3:$V$37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sample1!$AB$3:$AB$37</c:f>
              <c:numCache>
                <c:formatCode>#,##0.000</c:formatCode>
                <c:ptCount val="35"/>
                <c:pt idx="0">
                  <c:v>1218.991943359375</c:v>
                </c:pt>
                <c:pt idx="1">
                  <c:v>522.05123901367188</c:v>
                </c:pt>
                <c:pt idx="2">
                  <c:v>167.40221436818442</c:v>
                </c:pt>
                <c:pt idx="3">
                  <c:v>167.93809000651041</c:v>
                </c:pt>
                <c:pt idx="4">
                  <c:v>166.52864329020181</c:v>
                </c:pt>
                <c:pt idx="5">
                  <c:v>91.91607666015625</c:v>
                </c:pt>
                <c:pt idx="6">
                  <c:v>-8.5532512664794922</c:v>
                </c:pt>
                <c:pt idx="7">
                  <c:v>-141.47571818033853</c:v>
                </c:pt>
                <c:pt idx="8">
                  <c:v>-96.911193211873368</c:v>
                </c:pt>
                <c:pt idx="9">
                  <c:v>-181.73470560709634</c:v>
                </c:pt>
                <c:pt idx="10">
                  <c:v>-230.83684031168619</c:v>
                </c:pt>
                <c:pt idx="11">
                  <c:v>-42.662953694661461</c:v>
                </c:pt>
                <c:pt idx="12">
                  <c:v>-163.31979624430338</c:v>
                </c:pt>
                <c:pt idx="13">
                  <c:v>-36.89068603515625</c:v>
                </c:pt>
                <c:pt idx="14">
                  <c:v>-194.22200806935629</c:v>
                </c:pt>
                <c:pt idx="15">
                  <c:v>-246.46477762858072</c:v>
                </c:pt>
                <c:pt idx="16">
                  <c:v>181.28984578450522</c:v>
                </c:pt>
                <c:pt idx="17">
                  <c:v>322.8621775309245</c:v>
                </c:pt>
                <c:pt idx="18">
                  <c:v>339.48397850990295</c:v>
                </c:pt>
                <c:pt idx="19">
                  <c:v>1088.4547271728516</c:v>
                </c:pt>
                <c:pt idx="20">
                  <c:v>1496.7900899251301</c:v>
                </c:pt>
                <c:pt idx="21">
                  <c:v>1864.0759785970051</c:v>
                </c:pt>
                <c:pt idx="22">
                  <c:v>2259.8696899414063</c:v>
                </c:pt>
                <c:pt idx="23">
                  <c:v>2689.0851236979165</c:v>
                </c:pt>
                <c:pt idx="24">
                  <c:v>3293.313761393229</c:v>
                </c:pt>
                <c:pt idx="25">
                  <c:v>4084.867919921875</c:v>
                </c:pt>
                <c:pt idx="26">
                  <c:v>4560.015706380208</c:v>
                </c:pt>
                <c:pt idx="27">
                  <c:v>5268.304280598958</c:v>
                </c:pt>
                <c:pt idx="28">
                  <c:v>6202.040690104167</c:v>
                </c:pt>
                <c:pt idx="29">
                  <c:v>7311.22216796875</c:v>
                </c:pt>
                <c:pt idx="30">
                  <c:v>9010.3180338541661</c:v>
                </c:pt>
                <c:pt idx="31">
                  <c:v>11712.8955078125</c:v>
                </c:pt>
                <c:pt idx="32">
                  <c:v>15595.4912109375</c:v>
                </c:pt>
                <c:pt idx="33">
                  <c:v>22710.501302083332</c:v>
                </c:pt>
                <c:pt idx="34">
                  <c:v>31586.641927083332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CA8-4C9B-9D6A-3FB17B81BB58}"/>
            </c:ext>
          </c:extLst>
        </c:ser>
        <c:ser>
          <c:idx val="6"/>
          <c:order val="6"/>
          <c:tx>
            <c:strRef>
              <c:f>sample1!$AC$2</c:f>
              <c:strCache>
                <c:ptCount val="1"/>
                <c:pt idx="0">
                  <c:v>spring(D)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sample1!$V$3:$V$37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sample1!$AC$3:$AC$37</c:f>
              <c:numCache>
                <c:formatCode>#,##0.000</c:formatCode>
                <c:ptCount val="35"/>
                <c:pt idx="0">
                  <c:v>-1987.5947875976563</c:v>
                </c:pt>
                <c:pt idx="1">
                  <c:v>-1712.4253743489583</c:v>
                </c:pt>
                <c:pt idx="2">
                  <c:v>-1327.7701822916667</c:v>
                </c:pt>
                <c:pt idx="3">
                  <c:v>-875.20485432942712</c:v>
                </c:pt>
                <c:pt idx="4">
                  <c:v>221.72636413574219</c:v>
                </c:pt>
                <c:pt idx="5">
                  <c:v>389.61461385091144</c:v>
                </c:pt>
                <c:pt idx="6">
                  <c:v>354.76458231608075</c:v>
                </c:pt>
                <c:pt idx="7">
                  <c:v>449.13328774770099</c:v>
                </c:pt>
                <c:pt idx="8">
                  <c:v>577.64004516601563</c:v>
                </c:pt>
                <c:pt idx="9">
                  <c:v>448.49831136067706</c:v>
                </c:pt>
                <c:pt idx="10">
                  <c:v>172.05583190917969</c:v>
                </c:pt>
                <c:pt idx="11">
                  <c:v>63.625055948893227</c:v>
                </c:pt>
                <c:pt idx="12">
                  <c:v>142.61747233072916</c:v>
                </c:pt>
                <c:pt idx="13">
                  <c:v>-166.25860595703125</c:v>
                </c:pt>
                <c:pt idx="14">
                  <c:v>-198.97714233398438</c:v>
                </c:pt>
                <c:pt idx="15">
                  <c:v>336.28089841206867</c:v>
                </c:pt>
                <c:pt idx="16">
                  <c:v>150.40351359049478</c:v>
                </c:pt>
                <c:pt idx="17">
                  <c:v>-26.122304280598957</c:v>
                </c:pt>
                <c:pt idx="18">
                  <c:v>152.73988850911459</c:v>
                </c:pt>
                <c:pt idx="19">
                  <c:v>77.48883056640625</c:v>
                </c:pt>
                <c:pt idx="20">
                  <c:v>-5.7466341654459638</c:v>
                </c:pt>
                <c:pt idx="21">
                  <c:v>-105.16177757581075</c:v>
                </c:pt>
                <c:pt idx="22">
                  <c:v>-160.72405497233072</c:v>
                </c:pt>
                <c:pt idx="23">
                  <c:v>-98.256378173828125</c:v>
                </c:pt>
                <c:pt idx="24">
                  <c:v>-187.02179463704428</c:v>
                </c:pt>
                <c:pt idx="25">
                  <c:v>-424.48771540323895</c:v>
                </c:pt>
                <c:pt idx="26">
                  <c:v>-163.54349009195963</c:v>
                </c:pt>
                <c:pt idx="27">
                  <c:v>60.701532999674477</c:v>
                </c:pt>
                <c:pt idx="28">
                  <c:v>-16.782620747884113</c:v>
                </c:pt>
                <c:pt idx="29">
                  <c:v>64.073064168294266</c:v>
                </c:pt>
                <c:pt idx="30">
                  <c:v>181.69829686482748</c:v>
                </c:pt>
                <c:pt idx="31">
                  <c:v>94.611269632975265</c:v>
                </c:pt>
                <c:pt idx="32">
                  <c:v>-157.31558736165366</c:v>
                </c:pt>
                <c:pt idx="33">
                  <c:v>-24.299741109212238</c:v>
                </c:pt>
                <c:pt idx="34">
                  <c:v>410.78511683146161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CA8-4C9B-9D6A-3FB17B81BB58}"/>
            </c:ext>
          </c:extLst>
        </c:ser>
        <c:ser>
          <c:idx val="7"/>
          <c:order val="7"/>
          <c:tx>
            <c:strRef>
              <c:f>sample1!$AD$2</c:f>
              <c:strCache>
                <c:ptCount val="1"/>
                <c:pt idx="0">
                  <c:v>fall(D)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sample1!$V$3:$V$37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sample1!$AD$3:$AD$37</c:f>
              <c:numCache>
                <c:formatCode>#,##0.000</c:formatCode>
                <c:ptCount val="35"/>
                <c:pt idx="0">
                  <c:v>581.69106038411462</c:v>
                </c:pt>
                <c:pt idx="1">
                  <c:v>377.70479329427081</c:v>
                </c:pt>
                <c:pt idx="2">
                  <c:v>146.16123580932617</c:v>
                </c:pt>
                <c:pt idx="3">
                  <c:v>74.086446762084961</c:v>
                </c:pt>
                <c:pt idx="4">
                  <c:v>260.01163736979169</c:v>
                </c:pt>
                <c:pt idx="5">
                  <c:v>110.1816242535909</c:v>
                </c:pt>
                <c:pt idx="6">
                  <c:v>118.27088928222656</c:v>
                </c:pt>
                <c:pt idx="7">
                  <c:v>-75.639856974283859</c:v>
                </c:pt>
                <c:pt idx="8">
                  <c:v>-186.12091064453125</c:v>
                </c:pt>
                <c:pt idx="9">
                  <c:v>109.34856017430623</c:v>
                </c:pt>
                <c:pt idx="10">
                  <c:v>-33.322599411010742</c:v>
                </c:pt>
                <c:pt idx="11">
                  <c:v>-173.24636459350586</c:v>
                </c:pt>
                <c:pt idx="12">
                  <c:v>34.194459279378258</c:v>
                </c:pt>
                <c:pt idx="13">
                  <c:v>-154.84128252665201</c:v>
                </c:pt>
                <c:pt idx="14">
                  <c:v>-296.32753372192383</c:v>
                </c:pt>
                <c:pt idx="15">
                  <c:v>-329.605473836263</c:v>
                </c:pt>
                <c:pt idx="16">
                  <c:v>-309.55787658691406</c:v>
                </c:pt>
                <c:pt idx="17">
                  <c:v>-164.48684438069662</c:v>
                </c:pt>
                <c:pt idx="18">
                  <c:v>-54.168419202168785</c:v>
                </c:pt>
                <c:pt idx="19">
                  <c:v>187.26198577880859</c:v>
                </c:pt>
                <c:pt idx="20">
                  <c:v>107.60384623209636</c:v>
                </c:pt>
                <c:pt idx="21">
                  <c:v>102.69831848144531</c:v>
                </c:pt>
                <c:pt idx="22">
                  <c:v>234.06621805826822</c:v>
                </c:pt>
                <c:pt idx="23">
                  <c:v>352.1658935546875</c:v>
                </c:pt>
                <c:pt idx="24">
                  <c:v>272.0650583902995</c:v>
                </c:pt>
                <c:pt idx="25">
                  <c:v>656.24806722005212</c:v>
                </c:pt>
                <c:pt idx="26">
                  <c:v>1035.319112141927</c:v>
                </c:pt>
                <c:pt idx="27">
                  <c:v>2006.0203857421875</c:v>
                </c:pt>
                <c:pt idx="28">
                  <c:v>3244.0314127604165</c:v>
                </c:pt>
                <c:pt idx="29">
                  <c:v>5864.8916015625</c:v>
                </c:pt>
                <c:pt idx="30">
                  <c:v>10614.269694010416</c:v>
                </c:pt>
                <c:pt idx="31">
                  <c:v>20039.091471354168</c:v>
                </c:pt>
                <c:pt idx="32">
                  <c:v>37524.396484375</c:v>
                </c:pt>
                <c:pt idx="33">
                  <c:v>67725.450520833328</c:v>
                </c:pt>
                <c:pt idx="34">
                  <c:v>104988.65755208333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CA8-4C9B-9D6A-3FB17B81B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32319"/>
        <c:axId val="113430239"/>
      </c:scatterChart>
      <c:valAx>
        <c:axId val="11343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30239"/>
        <c:crosses val="autoZero"/>
        <c:crossBetween val="midCat"/>
      </c:valAx>
      <c:valAx>
        <c:axId val="11343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32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Acropora nana (WLT)3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sample3!$V$1</c:f>
              <c:strCache>
                <c:ptCount val="1"/>
                <c:pt idx="0">
                  <c:v>summer(C)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sample3!$U$2:$U$37</c:f>
              <c:numCache>
                <c:formatCode>#,##0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sample3!$V$2:$V$37</c:f>
              <c:numCache>
                <c:formatCode>General</c:formatCode>
                <c:ptCount val="36"/>
                <c:pt idx="0" formatCode="#,##0.000">
                  <c:v>-4946.7396189371748</c:v>
                </c:pt>
                <c:pt idx="1">
                  <c:v>3773.2890319824219</c:v>
                </c:pt>
                <c:pt idx="2" formatCode="#,##0.000">
                  <c:v>296.42819722493488</c:v>
                </c:pt>
                <c:pt idx="3">
                  <c:v>434.12614610460076</c:v>
                </c:pt>
                <c:pt idx="4" formatCode="#,##0.000">
                  <c:v>-508.67208862304688</c:v>
                </c:pt>
                <c:pt idx="5">
                  <c:v>256.19198438856341</c:v>
                </c:pt>
                <c:pt idx="6" formatCode="#,##0.000">
                  <c:v>1.9945576985677083</c:v>
                </c:pt>
                <c:pt idx="7">
                  <c:v>273.94167751736114</c:v>
                </c:pt>
                <c:pt idx="8" formatCode="#,##0.000">
                  <c:v>876.46977742513025</c:v>
                </c:pt>
                <c:pt idx="9">
                  <c:v>1072.0743713378906</c:v>
                </c:pt>
                <c:pt idx="10" formatCode="#,##0.000">
                  <c:v>2268.7250162760415</c:v>
                </c:pt>
                <c:pt idx="11">
                  <c:v>2358.6443413628472</c:v>
                </c:pt>
                <c:pt idx="12" formatCode="#,##0.000">
                  <c:v>8336.12060546875</c:v>
                </c:pt>
                <c:pt idx="13">
                  <c:v>3387.3194444444448</c:v>
                </c:pt>
                <c:pt idx="14" formatCode="#,##0.000">
                  <c:v>29331.016927083332</c:v>
                </c:pt>
                <c:pt idx="15">
                  <c:v>4180.5269097222217</c:v>
                </c:pt>
                <c:pt idx="16" formatCode="#,##0.000">
                  <c:v>92908.411458333328</c:v>
                </c:pt>
                <c:pt idx="17">
                  <c:v>7782.295138888886</c:v>
                </c:pt>
                <c:pt idx="18" formatCode="#,##0.000">
                  <c:v>222302.44270833334</c:v>
                </c:pt>
                <c:pt idx="19">
                  <c:v>14429.076388888896</c:v>
                </c:pt>
                <c:pt idx="20" formatCode="#,##0.000">
                  <c:v>350269.125</c:v>
                </c:pt>
                <c:pt idx="21">
                  <c:v>18319.680555555562</c:v>
                </c:pt>
                <c:pt idx="22" formatCode="#,##0.000">
                  <c:v>438201.63541666669</c:v>
                </c:pt>
                <c:pt idx="23">
                  <c:v>20923.826388888894</c:v>
                </c:pt>
                <c:pt idx="24" formatCode="#,##0.000">
                  <c:v>494649.91666666669</c:v>
                </c:pt>
                <c:pt idx="25">
                  <c:v>23254.8125</c:v>
                </c:pt>
                <c:pt idx="26" formatCode="#,##0.000">
                  <c:v>529152.23958333337</c:v>
                </c:pt>
                <c:pt idx="27">
                  <c:v>26552.069444444456</c:v>
                </c:pt>
                <c:pt idx="28" formatCode="#,##0.000">
                  <c:v>551362.55208333337</c:v>
                </c:pt>
                <c:pt idx="29">
                  <c:v>28450.472222222208</c:v>
                </c:pt>
                <c:pt idx="30" formatCode="#,##0.000">
                  <c:v>564206.1875</c:v>
                </c:pt>
                <c:pt idx="31">
                  <c:v>29523.013888888876</c:v>
                </c:pt>
                <c:pt idx="32" formatCode="#,##0.000">
                  <c:v>572782.35416666663</c:v>
                </c:pt>
                <c:pt idx="33">
                  <c:v>31230.347222222208</c:v>
                </c:pt>
                <c:pt idx="34" formatCode="#,##0.000">
                  <c:v>575056.95833333337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68-4D85-A152-124FD1E7FAFC}"/>
            </c:ext>
          </c:extLst>
        </c:ser>
        <c:ser>
          <c:idx val="1"/>
          <c:order val="1"/>
          <c:tx>
            <c:strRef>
              <c:f>sample3!$W$1</c:f>
              <c:strCache>
                <c:ptCount val="1"/>
                <c:pt idx="0">
                  <c:v>winter(C)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sample3!$U$2:$U$37</c:f>
              <c:numCache>
                <c:formatCode>#,##0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sample3!$W$2:$W$37</c:f>
              <c:numCache>
                <c:formatCode>#,##0.000</c:formatCode>
                <c:ptCount val="36"/>
                <c:pt idx="0">
                  <c:v>297.24554443359375</c:v>
                </c:pt>
                <c:pt idx="1">
                  <c:v>-47.055318196614586</c:v>
                </c:pt>
                <c:pt idx="2">
                  <c:v>-252.00850931803384</c:v>
                </c:pt>
                <c:pt idx="3">
                  <c:v>-36.873830159505211</c:v>
                </c:pt>
                <c:pt idx="4">
                  <c:v>191.49197387695313</c:v>
                </c:pt>
                <c:pt idx="5">
                  <c:v>199.34541829427084</c:v>
                </c:pt>
                <c:pt idx="6">
                  <c:v>185.845334370931</c:v>
                </c:pt>
                <c:pt idx="7">
                  <c:v>-165.11893717447916</c:v>
                </c:pt>
                <c:pt idx="8">
                  <c:v>3.1628931363423667</c:v>
                </c:pt>
                <c:pt idx="9">
                  <c:v>-125.84435017903645</c:v>
                </c:pt>
                <c:pt idx="10">
                  <c:v>31.036430358886719</c:v>
                </c:pt>
                <c:pt idx="11">
                  <c:v>857.61122639973962</c:v>
                </c:pt>
                <c:pt idx="12">
                  <c:v>2915.2433268229165</c:v>
                </c:pt>
                <c:pt idx="13">
                  <c:v>7955.182779947917</c:v>
                </c:pt>
                <c:pt idx="14">
                  <c:v>21476.913736979168</c:v>
                </c:pt>
                <c:pt idx="15">
                  <c:v>39191.299479166664</c:v>
                </c:pt>
                <c:pt idx="16">
                  <c:v>67586.20703125</c:v>
                </c:pt>
                <c:pt idx="17">
                  <c:v>112788.83072916667</c:v>
                </c:pt>
                <c:pt idx="18">
                  <c:v>173556.21875</c:v>
                </c:pt>
                <c:pt idx="19">
                  <c:v>241469.00520833334</c:v>
                </c:pt>
                <c:pt idx="20">
                  <c:v>305444.92708333331</c:v>
                </c:pt>
                <c:pt idx="21">
                  <c:v>361586.32291666669</c:v>
                </c:pt>
                <c:pt idx="22">
                  <c:v>408899.28125</c:v>
                </c:pt>
                <c:pt idx="23">
                  <c:v>447753.5</c:v>
                </c:pt>
                <c:pt idx="24">
                  <c:v>478455.76041666669</c:v>
                </c:pt>
                <c:pt idx="25">
                  <c:v>504071.1875</c:v>
                </c:pt>
                <c:pt idx="26">
                  <c:v>524730.44791666663</c:v>
                </c:pt>
                <c:pt idx="27">
                  <c:v>540881.03125</c:v>
                </c:pt>
                <c:pt idx="28">
                  <c:v>554511.92708333337</c:v>
                </c:pt>
                <c:pt idx="29">
                  <c:v>565647</c:v>
                </c:pt>
                <c:pt idx="30">
                  <c:v>573966.4375</c:v>
                </c:pt>
                <c:pt idx="31">
                  <c:v>581131.0625</c:v>
                </c:pt>
                <c:pt idx="32">
                  <c:v>586646.47916666663</c:v>
                </c:pt>
                <c:pt idx="33">
                  <c:v>590228.08333333337</c:v>
                </c:pt>
                <c:pt idx="34">
                  <c:v>592472.95833333337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68-4D85-A152-124FD1E7FAFC}"/>
            </c:ext>
          </c:extLst>
        </c:ser>
        <c:ser>
          <c:idx val="2"/>
          <c:order val="2"/>
          <c:tx>
            <c:strRef>
              <c:f>sample3!$X$1</c:f>
              <c:strCache>
                <c:ptCount val="1"/>
                <c:pt idx="0">
                  <c:v>spring(C)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sample3!$U$2:$U$37</c:f>
              <c:numCache>
                <c:formatCode>#,##0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sample3!$X$2:$X$37</c:f>
              <c:numCache>
                <c:formatCode>#,##0.000</c:formatCode>
                <c:ptCount val="36"/>
                <c:pt idx="0">
                  <c:v>1113.5371704101563</c:v>
                </c:pt>
                <c:pt idx="1">
                  <c:v>1042.2486775716145</c:v>
                </c:pt>
                <c:pt idx="2">
                  <c:v>1104.3221588134766</c:v>
                </c:pt>
                <c:pt idx="3">
                  <c:v>971.7472025553385</c:v>
                </c:pt>
                <c:pt idx="4">
                  <c:v>898.63059488932288</c:v>
                </c:pt>
                <c:pt idx="5">
                  <c:v>575.40462239583337</c:v>
                </c:pt>
                <c:pt idx="6">
                  <c:v>71.738525390625</c:v>
                </c:pt>
                <c:pt idx="7">
                  <c:v>-522.10332743326819</c:v>
                </c:pt>
                <c:pt idx="8">
                  <c:v>-735.1717631022135</c:v>
                </c:pt>
                <c:pt idx="9">
                  <c:v>-401.77406311035156</c:v>
                </c:pt>
                <c:pt idx="10">
                  <c:v>169.85278828938803</c:v>
                </c:pt>
                <c:pt idx="11">
                  <c:v>35.689289728800453</c:v>
                </c:pt>
                <c:pt idx="12">
                  <c:v>-232.88305854797363</c:v>
                </c:pt>
                <c:pt idx="13">
                  <c:v>-477.77051798502606</c:v>
                </c:pt>
                <c:pt idx="14">
                  <c:v>-601.41317749023438</c:v>
                </c:pt>
                <c:pt idx="15">
                  <c:v>-723.90609995524085</c:v>
                </c:pt>
                <c:pt idx="16">
                  <c:v>-662.77141825358069</c:v>
                </c:pt>
                <c:pt idx="17">
                  <c:v>-491.3203125</c:v>
                </c:pt>
                <c:pt idx="18">
                  <c:v>-568.36399841308594</c:v>
                </c:pt>
                <c:pt idx="19">
                  <c:v>-375.27618916829425</c:v>
                </c:pt>
                <c:pt idx="20">
                  <c:v>-207.48006693522134</c:v>
                </c:pt>
                <c:pt idx="21">
                  <c:v>-121.23468780517578</c:v>
                </c:pt>
                <c:pt idx="22">
                  <c:v>-252.04792785644531</c:v>
                </c:pt>
                <c:pt idx="23">
                  <c:v>-217.26350402832031</c:v>
                </c:pt>
                <c:pt idx="24">
                  <c:v>142.87637837727866</c:v>
                </c:pt>
                <c:pt idx="25">
                  <c:v>308.54623413085938</c:v>
                </c:pt>
                <c:pt idx="26">
                  <c:v>223.58456929524741</c:v>
                </c:pt>
                <c:pt idx="27">
                  <c:v>187.49787394205728</c:v>
                </c:pt>
                <c:pt idx="28">
                  <c:v>415.698974609375</c:v>
                </c:pt>
                <c:pt idx="29">
                  <c:v>569.04982280731201</c:v>
                </c:pt>
                <c:pt idx="30">
                  <c:v>621.26523272196448</c:v>
                </c:pt>
                <c:pt idx="31">
                  <c:v>738.212412516276</c:v>
                </c:pt>
                <c:pt idx="32">
                  <c:v>997.72595977783203</c:v>
                </c:pt>
                <c:pt idx="33">
                  <c:v>1735.5572713216145</c:v>
                </c:pt>
                <c:pt idx="34">
                  <c:v>2140.1776326497397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268-4D85-A152-124FD1E7FAFC}"/>
            </c:ext>
          </c:extLst>
        </c:ser>
        <c:ser>
          <c:idx val="3"/>
          <c:order val="3"/>
          <c:tx>
            <c:strRef>
              <c:f>sample3!$Y$1</c:f>
              <c:strCache>
                <c:ptCount val="1"/>
                <c:pt idx="0">
                  <c:v>fall(C)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sample3!$U$2:$U$37</c:f>
              <c:numCache>
                <c:formatCode>#,##0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sample3!$Y$2:$Y$37</c:f>
              <c:numCache>
                <c:formatCode>General</c:formatCode>
                <c:ptCount val="36"/>
                <c:pt idx="0" formatCode="#,##0.000">
                  <c:v>-1357.7579956054688</c:v>
                </c:pt>
                <c:pt idx="1">
                  <c:v>-821.37408447265625</c:v>
                </c:pt>
                <c:pt idx="2" formatCode="#,##0.000">
                  <c:v>-155.80915323893228</c:v>
                </c:pt>
                <c:pt idx="3">
                  <c:v>-72.42782847086589</c:v>
                </c:pt>
                <c:pt idx="4" formatCode="#,##0.000">
                  <c:v>286.84542846679688</c:v>
                </c:pt>
                <c:pt idx="5">
                  <c:v>160.30487060546875</c:v>
                </c:pt>
                <c:pt idx="6" formatCode="#,##0.000">
                  <c:v>-194.03515195846558</c:v>
                </c:pt>
                <c:pt idx="7">
                  <c:v>56.768043518066406</c:v>
                </c:pt>
                <c:pt idx="8" formatCode="#,##0.000">
                  <c:v>-81.646204630533859</c:v>
                </c:pt>
                <c:pt idx="9">
                  <c:v>-98.824773152669266</c:v>
                </c:pt>
                <c:pt idx="10" formatCode="#,##0.000">
                  <c:v>887.20497639973962</c:v>
                </c:pt>
                <c:pt idx="11">
                  <c:v>2509.9717610677085</c:v>
                </c:pt>
                <c:pt idx="12" formatCode="#,##0.000">
                  <c:v>5521.955891927083</c:v>
                </c:pt>
                <c:pt idx="13">
                  <c:v>10978.895833333334</c:v>
                </c:pt>
                <c:pt idx="14" formatCode="#,##0.000">
                  <c:v>23395.57421875</c:v>
                </c:pt>
                <c:pt idx="15">
                  <c:v>46656.526041666664</c:v>
                </c:pt>
                <c:pt idx="16" formatCode="#,##0.000">
                  <c:v>83545.294270833328</c:v>
                </c:pt>
                <c:pt idx="17">
                  <c:v>130004.02604166667</c:v>
                </c:pt>
                <c:pt idx="18" formatCode="#,##0.000">
                  <c:v>182233.69270833334</c:v>
                </c:pt>
                <c:pt idx="19">
                  <c:v>232501.28645833334</c:v>
                </c:pt>
                <c:pt idx="20" formatCode="#,##0.000">
                  <c:v>278240.19791666669</c:v>
                </c:pt>
                <c:pt idx="21">
                  <c:v>316693.98958333331</c:v>
                </c:pt>
                <c:pt idx="22" formatCode="#,##0.000">
                  <c:v>349858.60416666669</c:v>
                </c:pt>
                <c:pt idx="23">
                  <c:v>376679.67708333331</c:v>
                </c:pt>
                <c:pt idx="24" formatCode="#,##0.000">
                  <c:v>400171.02083333331</c:v>
                </c:pt>
                <c:pt idx="25">
                  <c:v>419921.71875</c:v>
                </c:pt>
                <c:pt idx="26" formatCode="#,##0.000">
                  <c:v>436045.5</c:v>
                </c:pt>
                <c:pt idx="27">
                  <c:v>449226.19791666669</c:v>
                </c:pt>
                <c:pt idx="28" formatCode="#,##0.000">
                  <c:v>460373.64583333331</c:v>
                </c:pt>
                <c:pt idx="29">
                  <c:v>468850.47916666669</c:v>
                </c:pt>
                <c:pt idx="30" formatCode="#,##0.000">
                  <c:v>476144.63541666669</c:v>
                </c:pt>
                <c:pt idx="31">
                  <c:v>482095.61458333331</c:v>
                </c:pt>
                <c:pt idx="32" formatCode="#,##0.000">
                  <c:v>487024.13541666669</c:v>
                </c:pt>
                <c:pt idx="33">
                  <c:v>491302.80208333331</c:v>
                </c:pt>
                <c:pt idx="34" formatCode="#,##0.000">
                  <c:v>493768.83333333331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268-4D85-A152-124FD1E7FAFC}"/>
            </c:ext>
          </c:extLst>
        </c:ser>
        <c:ser>
          <c:idx val="4"/>
          <c:order val="4"/>
          <c:tx>
            <c:strRef>
              <c:f>sample3!$Z$1</c:f>
              <c:strCache>
                <c:ptCount val="1"/>
                <c:pt idx="0">
                  <c:v>summer(D)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sample3!$U$2:$U$37</c:f>
              <c:numCache>
                <c:formatCode>#,##0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sample3!$Z$2:$Z$37</c:f>
              <c:numCache>
                <c:formatCode>#,##0.000</c:formatCode>
                <c:ptCount val="36"/>
                <c:pt idx="0">
                  <c:v>1154.6439208984375</c:v>
                </c:pt>
                <c:pt idx="1">
                  <c:v>872.437001546224</c:v>
                </c:pt>
                <c:pt idx="2">
                  <c:v>929.62333170572913</c:v>
                </c:pt>
                <c:pt idx="3">
                  <c:v>977.29143269856775</c:v>
                </c:pt>
                <c:pt idx="4">
                  <c:v>403.95693461100262</c:v>
                </c:pt>
                <c:pt idx="5">
                  <c:v>166.53390502929688</c:v>
                </c:pt>
                <c:pt idx="6">
                  <c:v>90.527516682942704</c:v>
                </c:pt>
                <c:pt idx="7">
                  <c:v>-286.29396565755206</c:v>
                </c:pt>
                <c:pt idx="8">
                  <c:v>-531.34200541178382</c:v>
                </c:pt>
                <c:pt idx="9">
                  <c:v>-408.70513407389325</c:v>
                </c:pt>
                <c:pt idx="10">
                  <c:v>-513.80003611246741</c:v>
                </c:pt>
                <c:pt idx="11">
                  <c:v>-606.59548695882165</c:v>
                </c:pt>
                <c:pt idx="12">
                  <c:v>-398.50291442871094</c:v>
                </c:pt>
                <c:pt idx="13">
                  <c:v>-477.36345036824542</c:v>
                </c:pt>
                <c:pt idx="14">
                  <c:v>-803.9948399861654</c:v>
                </c:pt>
                <c:pt idx="15">
                  <c:v>-696.18871561686194</c:v>
                </c:pt>
                <c:pt idx="16">
                  <c:v>-217.0622533162435</c:v>
                </c:pt>
                <c:pt idx="17">
                  <c:v>-226.13374328613281</c:v>
                </c:pt>
                <c:pt idx="18">
                  <c:v>-103.77292887369792</c:v>
                </c:pt>
                <c:pt idx="19">
                  <c:v>416.06705220540363</c:v>
                </c:pt>
                <c:pt idx="20">
                  <c:v>917.81329345703125</c:v>
                </c:pt>
                <c:pt idx="21">
                  <c:v>778.39284261067712</c:v>
                </c:pt>
                <c:pt idx="22">
                  <c:v>946.316162109375</c:v>
                </c:pt>
                <c:pt idx="23">
                  <c:v>1547.0154825846355</c:v>
                </c:pt>
                <c:pt idx="24">
                  <c:v>1879.8346761067708</c:v>
                </c:pt>
                <c:pt idx="25">
                  <c:v>2549.4090169270835</c:v>
                </c:pt>
                <c:pt idx="26">
                  <c:v>3010.4886067708335</c:v>
                </c:pt>
                <c:pt idx="27">
                  <c:v>3763.8545735677085</c:v>
                </c:pt>
                <c:pt idx="28">
                  <c:v>5698.725911458333</c:v>
                </c:pt>
                <c:pt idx="29">
                  <c:v>8689.22216796875</c:v>
                </c:pt>
                <c:pt idx="30">
                  <c:v>14525.744791666666</c:v>
                </c:pt>
                <c:pt idx="31">
                  <c:v>25082.458984375</c:v>
                </c:pt>
                <c:pt idx="32">
                  <c:v>44011.294270833336</c:v>
                </c:pt>
                <c:pt idx="33">
                  <c:v>75521.84765625</c:v>
                </c:pt>
                <c:pt idx="34">
                  <c:v>114461.03125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268-4D85-A152-124FD1E7FAFC}"/>
            </c:ext>
          </c:extLst>
        </c:ser>
        <c:ser>
          <c:idx val="5"/>
          <c:order val="5"/>
          <c:tx>
            <c:strRef>
              <c:f>sample3!$AA$1</c:f>
              <c:strCache>
                <c:ptCount val="1"/>
                <c:pt idx="0">
                  <c:v>winter(D)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sample3!$U$2:$U$37</c:f>
              <c:numCache>
                <c:formatCode>#,##0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sample3!$AA$2:$AA$37</c:f>
              <c:numCache>
                <c:formatCode>#,##0.000</c:formatCode>
                <c:ptCount val="36"/>
                <c:pt idx="0" formatCode="General">
                  <c:v>3171.8138631184897</c:v>
                </c:pt>
                <c:pt idx="1">
                  <c:v>1597.0168685913086</c:v>
                </c:pt>
                <c:pt idx="2" formatCode="General">
                  <c:v>253.72762298583984</c:v>
                </c:pt>
                <c:pt idx="3">
                  <c:v>-126.19572448730469</c:v>
                </c:pt>
                <c:pt idx="4" formatCode="General">
                  <c:v>-432.93416341145831</c:v>
                </c:pt>
                <c:pt idx="5">
                  <c:v>-671.33670043945313</c:v>
                </c:pt>
                <c:pt idx="6" formatCode="General">
                  <c:v>-350.72487894694012</c:v>
                </c:pt>
                <c:pt idx="7">
                  <c:v>998.82444254557288</c:v>
                </c:pt>
                <c:pt idx="8" formatCode="General">
                  <c:v>1178.910176595052</c:v>
                </c:pt>
                <c:pt idx="9">
                  <c:v>748.64175415039063</c:v>
                </c:pt>
                <c:pt idx="10" formatCode="General">
                  <c:v>-362.30108896891278</c:v>
                </c:pt>
                <c:pt idx="11">
                  <c:v>-644.39761861165368</c:v>
                </c:pt>
                <c:pt idx="12" formatCode="General">
                  <c:v>-236.99675027529398</c:v>
                </c:pt>
                <c:pt idx="13">
                  <c:v>-347.42140197753906</c:v>
                </c:pt>
                <c:pt idx="14" formatCode="General">
                  <c:v>-680.72886149088538</c:v>
                </c:pt>
                <c:pt idx="15">
                  <c:v>-529.28634134928382</c:v>
                </c:pt>
                <c:pt idx="16" formatCode="General">
                  <c:v>919.97786013285315</c:v>
                </c:pt>
                <c:pt idx="17">
                  <c:v>4159.4123980204267</c:v>
                </c:pt>
                <c:pt idx="18" formatCode="General">
                  <c:v>4819.5583597819013</c:v>
                </c:pt>
                <c:pt idx="19">
                  <c:v>5150.8628438313799</c:v>
                </c:pt>
                <c:pt idx="20" formatCode="General">
                  <c:v>4283.6816635131836</c:v>
                </c:pt>
                <c:pt idx="21">
                  <c:v>3999.4444885253906</c:v>
                </c:pt>
                <c:pt idx="22" formatCode="General">
                  <c:v>4384.5106913248701</c:v>
                </c:pt>
                <c:pt idx="23">
                  <c:v>4432.942789713542</c:v>
                </c:pt>
                <c:pt idx="24" formatCode="General">
                  <c:v>3600.3240966796875</c:v>
                </c:pt>
                <c:pt idx="25">
                  <c:v>1044.1897939046223</c:v>
                </c:pt>
                <c:pt idx="26" formatCode="General">
                  <c:v>51.818557739257813</c:v>
                </c:pt>
                <c:pt idx="27">
                  <c:v>-527.24540456136071</c:v>
                </c:pt>
                <c:pt idx="28" formatCode="General">
                  <c:v>-482.77817789713544</c:v>
                </c:pt>
                <c:pt idx="29">
                  <c:v>-90.271807352701828</c:v>
                </c:pt>
                <c:pt idx="30" formatCode="General">
                  <c:v>390.58997599283856</c:v>
                </c:pt>
                <c:pt idx="31">
                  <c:v>1185.8424275716145</c:v>
                </c:pt>
                <c:pt idx="32" formatCode="General">
                  <c:v>2647.0545247395835</c:v>
                </c:pt>
                <c:pt idx="33">
                  <c:v>5000.2755635579424</c:v>
                </c:pt>
                <c:pt idx="34" formatCode="General">
                  <c:v>8081.4838816324873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268-4D85-A152-124FD1E7FAFC}"/>
            </c:ext>
          </c:extLst>
        </c:ser>
        <c:ser>
          <c:idx val="6"/>
          <c:order val="6"/>
          <c:tx>
            <c:strRef>
              <c:f>sample3!$AB$1</c:f>
              <c:strCache>
                <c:ptCount val="1"/>
                <c:pt idx="0">
                  <c:v>spring(D)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sample3!$U$2:$U$37</c:f>
              <c:numCache>
                <c:formatCode>#,##0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sample3!$AB$2:$AB$37</c:f>
              <c:numCache>
                <c:formatCode>#,##0.000</c:formatCode>
                <c:ptCount val="36"/>
                <c:pt idx="0" formatCode="General">
                  <c:v>476.5720079210069</c:v>
                </c:pt>
                <c:pt idx="1">
                  <c:v>273.08584594726563</c:v>
                </c:pt>
                <c:pt idx="2" formatCode="General">
                  <c:v>239.7237146165636</c:v>
                </c:pt>
                <c:pt idx="3">
                  <c:v>-31.802242914835613</c:v>
                </c:pt>
                <c:pt idx="4" formatCode="General">
                  <c:v>440.1914829678006</c:v>
                </c:pt>
                <c:pt idx="5">
                  <c:v>264.68727620442706</c:v>
                </c:pt>
                <c:pt idx="6" formatCode="General">
                  <c:v>94.220438639322921</c:v>
                </c:pt>
                <c:pt idx="7">
                  <c:v>176.31743113199869</c:v>
                </c:pt>
                <c:pt idx="8" formatCode="General">
                  <c:v>198.83788384331601</c:v>
                </c:pt>
                <c:pt idx="9">
                  <c:v>-452.18001047770184</c:v>
                </c:pt>
                <c:pt idx="10" formatCode="General">
                  <c:v>366.7125244140625</c:v>
                </c:pt>
                <c:pt idx="11">
                  <c:v>175.01655197143555</c:v>
                </c:pt>
                <c:pt idx="12" formatCode="General">
                  <c:v>334.36990017361114</c:v>
                </c:pt>
                <c:pt idx="13">
                  <c:v>89.703999837239579</c:v>
                </c:pt>
                <c:pt idx="14" formatCode="General">
                  <c:v>285.96727922227643</c:v>
                </c:pt>
                <c:pt idx="15">
                  <c:v>-97.796056111653641</c:v>
                </c:pt>
                <c:pt idx="16" formatCode="General">
                  <c:v>626.5224338107638</c:v>
                </c:pt>
                <c:pt idx="17">
                  <c:v>94.933074951171875</c:v>
                </c:pt>
                <c:pt idx="18" formatCode="General">
                  <c:v>670.55963812934021</c:v>
                </c:pt>
                <c:pt idx="19">
                  <c:v>296.45123799641925</c:v>
                </c:pt>
                <c:pt idx="20" formatCode="General">
                  <c:v>989.18748219807946</c:v>
                </c:pt>
                <c:pt idx="21">
                  <c:v>548.28841654459632</c:v>
                </c:pt>
                <c:pt idx="22" formatCode="General">
                  <c:v>729.72441181871625</c:v>
                </c:pt>
                <c:pt idx="23">
                  <c:v>593.10345458984375</c:v>
                </c:pt>
                <c:pt idx="24" formatCode="General">
                  <c:v>1027.729227701823</c:v>
                </c:pt>
                <c:pt idx="25">
                  <c:v>987.20625813802087</c:v>
                </c:pt>
                <c:pt idx="26" formatCode="General">
                  <c:v>1246.6958482530381</c:v>
                </c:pt>
                <c:pt idx="27">
                  <c:v>1375.0759887695313</c:v>
                </c:pt>
                <c:pt idx="28" formatCode="General">
                  <c:v>1381.9645538330078</c:v>
                </c:pt>
                <c:pt idx="29">
                  <c:v>967.13321940104163</c:v>
                </c:pt>
                <c:pt idx="30" formatCode="General">
                  <c:v>1305.840894487169</c:v>
                </c:pt>
                <c:pt idx="31">
                  <c:v>1819.4248148600261</c:v>
                </c:pt>
                <c:pt idx="32" formatCode="General">
                  <c:v>1697.3396467632717</c:v>
                </c:pt>
                <c:pt idx="33">
                  <c:v>2056.4820454915366</c:v>
                </c:pt>
                <c:pt idx="34" formatCode="General">
                  <c:v>2067.5319552951387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268-4D85-A152-124FD1E7FAFC}"/>
            </c:ext>
          </c:extLst>
        </c:ser>
        <c:ser>
          <c:idx val="7"/>
          <c:order val="7"/>
          <c:tx>
            <c:strRef>
              <c:f>sample3!$AC$1</c:f>
              <c:strCache>
                <c:ptCount val="1"/>
                <c:pt idx="0">
                  <c:v>fall(D)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sample3!$U$2:$U$37</c:f>
              <c:numCache>
                <c:formatCode>#,##0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sample3!$AC$2:$AC$37</c:f>
              <c:numCache>
                <c:formatCode>#,##0.000</c:formatCode>
                <c:ptCount val="36"/>
                <c:pt idx="0">
                  <c:v>285.48915354410809</c:v>
                </c:pt>
                <c:pt idx="1">
                  <c:v>147.75718180338541</c:v>
                </c:pt>
                <c:pt idx="2">
                  <c:v>209.02782185872397</c:v>
                </c:pt>
                <c:pt idx="3">
                  <c:v>125.22683461507161</c:v>
                </c:pt>
                <c:pt idx="4">
                  <c:v>101.28783162434895</c:v>
                </c:pt>
                <c:pt idx="5">
                  <c:v>-86.166797637939453</c:v>
                </c:pt>
                <c:pt idx="6">
                  <c:v>-308.29069010416669</c:v>
                </c:pt>
                <c:pt idx="7">
                  <c:v>-156.32996114095053</c:v>
                </c:pt>
                <c:pt idx="8">
                  <c:v>60.284427642822266</c:v>
                </c:pt>
                <c:pt idx="9">
                  <c:v>69.419647216796875</c:v>
                </c:pt>
                <c:pt idx="10">
                  <c:v>-8.2953999837239589</c:v>
                </c:pt>
                <c:pt idx="11">
                  <c:v>-121.09117698669434</c:v>
                </c:pt>
                <c:pt idx="12">
                  <c:v>-43.756749471028648</c:v>
                </c:pt>
                <c:pt idx="13">
                  <c:v>111.87196413675944</c:v>
                </c:pt>
                <c:pt idx="14">
                  <c:v>43.542335510253906</c:v>
                </c:pt>
                <c:pt idx="15">
                  <c:v>-17.814633687337238</c:v>
                </c:pt>
                <c:pt idx="16">
                  <c:v>-78.865618387858078</c:v>
                </c:pt>
                <c:pt idx="17">
                  <c:v>-149.96607971191406</c:v>
                </c:pt>
                <c:pt idx="18">
                  <c:v>81.212109883626297</c:v>
                </c:pt>
                <c:pt idx="19">
                  <c:v>-1.6448647181193035</c:v>
                </c:pt>
                <c:pt idx="20">
                  <c:v>-7.6971486409505205</c:v>
                </c:pt>
                <c:pt idx="21">
                  <c:v>250.33650716145834</c:v>
                </c:pt>
                <c:pt idx="22">
                  <c:v>349.14229583740234</c:v>
                </c:pt>
                <c:pt idx="23">
                  <c:v>609.51576741536462</c:v>
                </c:pt>
                <c:pt idx="24">
                  <c:v>1018.0963541666666</c:v>
                </c:pt>
                <c:pt idx="25">
                  <c:v>1979.1807454427083</c:v>
                </c:pt>
                <c:pt idx="26">
                  <c:v>2889.7625732421875</c:v>
                </c:pt>
                <c:pt idx="27">
                  <c:v>4794.076090494792</c:v>
                </c:pt>
                <c:pt idx="28">
                  <c:v>8257.51220703125</c:v>
                </c:pt>
                <c:pt idx="29">
                  <c:v>14248.626627604166</c:v>
                </c:pt>
                <c:pt idx="30">
                  <c:v>26018.514322916668</c:v>
                </c:pt>
                <c:pt idx="31">
                  <c:v>47411.06640625</c:v>
                </c:pt>
                <c:pt idx="32">
                  <c:v>83919.15625</c:v>
                </c:pt>
                <c:pt idx="33">
                  <c:v>139933.40104166666</c:v>
                </c:pt>
                <c:pt idx="34">
                  <c:v>200995.23958333334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268-4D85-A152-124FD1E7F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55375"/>
        <c:axId val="53360783"/>
      </c:scatterChart>
      <c:valAx>
        <c:axId val="5335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60783"/>
        <c:crosses val="autoZero"/>
        <c:crossBetween val="midCat"/>
      </c:valAx>
      <c:valAx>
        <c:axId val="5336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55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Acropora nana (WLT)5</a:t>
            </a:r>
            <a:endParaRPr lang="en-US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sample5!$U$1</c:f>
              <c:strCache>
                <c:ptCount val="1"/>
                <c:pt idx="0">
                  <c:v>summer(C)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sample5!$T$2:$T$37</c:f>
              <c:numCache>
                <c:formatCode>#,##0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sample5!$U$2:$U$37</c:f>
              <c:numCache>
                <c:formatCode>#,##0.000</c:formatCode>
                <c:ptCount val="36"/>
                <c:pt idx="0">
                  <c:v>-1818.2477467854817</c:v>
                </c:pt>
                <c:pt idx="1">
                  <c:v>-280.49980672200519</c:v>
                </c:pt>
                <c:pt idx="2">
                  <c:v>123.33796946207683</c:v>
                </c:pt>
                <c:pt idx="3">
                  <c:v>10.592419942220053</c:v>
                </c:pt>
                <c:pt idx="4">
                  <c:v>-274.53725179036456</c:v>
                </c:pt>
                <c:pt idx="5">
                  <c:v>-155.20207214355469</c:v>
                </c:pt>
                <c:pt idx="6">
                  <c:v>122.25680541992188</c:v>
                </c:pt>
                <c:pt idx="7">
                  <c:v>323.93183135986328</c:v>
                </c:pt>
                <c:pt idx="8">
                  <c:v>287.25268427530926</c:v>
                </c:pt>
                <c:pt idx="9">
                  <c:v>478.45246378580731</c:v>
                </c:pt>
                <c:pt idx="10">
                  <c:v>937.35788981119788</c:v>
                </c:pt>
                <c:pt idx="11">
                  <c:v>2231.3974660237632</c:v>
                </c:pt>
                <c:pt idx="12">
                  <c:v>4770.0047607421875</c:v>
                </c:pt>
                <c:pt idx="13">
                  <c:v>8682.73193359375</c:v>
                </c:pt>
                <c:pt idx="14">
                  <c:v>15575.516276041666</c:v>
                </c:pt>
                <c:pt idx="15">
                  <c:v>27508.979166666668</c:v>
                </c:pt>
                <c:pt idx="16">
                  <c:v>49288.654947916664</c:v>
                </c:pt>
                <c:pt idx="17">
                  <c:v>85694.4375</c:v>
                </c:pt>
                <c:pt idx="18">
                  <c:v>139710.2734375</c:v>
                </c:pt>
                <c:pt idx="19">
                  <c:v>204971.91666666666</c:v>
                </c:pt>
                <c:pt idx="20">
                  <c:v>269310.75</c:v>
                </c:pt>
                <c:pt idx="21">
                  <c:v>325024.90625</c:v>
                </c:pt>
                <c:pt idx="22">
                  <c:v>372321.91666666669</c:v>
                </c:pt>
                <c:pt idx="23">
                  <c:v>410160.32291666669</c:v>
                </c:pt>
                <c:pt idx="24">
                  <c:v>440695.11458333331</c:v>
                </c:pt>
                <c:pt idx="25">
                  <c:v>464720.875</c:v>
                </c:pt>
                <c:pt idx="26">
                  <c:v>483494.19791666669</c:v>
                </c:pt>
                <c:pt idx="27">
                  <c:v>498721.55208333331</c:v>
                </c:pt>
                <c:pt idx="28">
                  <c:v>510952.92708333331</c:v>
                </c:pt>
                <c:pt idx="29">
                  <c:v>520900.04166666669</c:v>
                </c:pt>
                <c:pt idx="30">
                  <c:v>528669.96875</c:v>
                </c:pt>
                <c:pt idx="31">
                  <c:v>535080.88541666663</c:v>
                </c:pt>
                <c:pt idx="32">
                  <c:v>540444.22916666663</c:v>
                </c:pt>
                <c:pt idx="33">
                  <c:v>543192.75</c:v>
                </c:pt>
                <c:pt idx="34">
                  <c:v>545133.75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F6-4724-AAF7-E8A0FD9DDAB1}"/>
            </c:ext>
          </c:extLst>
        </c:ser>
        <c:ser>
          <c:idx val="1"/>
          <c:order val="1"/>
          <c:tx>
            <c:strRef>
              <c:f>sample5!$V$1</c:f>
              <c:strCache>
                <c:ptCount val="1"/>
                <c:pt idx="0">
                  <c:v>winter(C)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sample5!$T$2:$T$37</c:f>
              <c:numCache>
                <c:formatCode>#,##0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sample5!$V$2:$V$37</c:f>
              <c:numCache>
                <c:formatCode>#,##0.000</c:formatCode>
                <c:ptCount val="36"/>
                <c:pt idx="0">
                  <c:v>-1321.9944864908855</c:v>
                </c:pt>
                <c:pt idx="1">
                  <c:v>-868.91035970052087</c:v>
                </c:pt>
                <c:pt idx="2">
                  <c:v>-220.79494222005209</c:v>
                </c:pt>
                <c:pt idx="3">
                  <c:v>-47.648289998372398</c:v>
                </c:pt>
                <c:pt idx="4">
                  <c:v>308.60642496744794</c:v>
                </c:pt>
                <c:pt idx="5">
                  <c:v>212.73614501953125</c:v>
                </c:pt>
                <c:pt idx="6">
                  <c:v>26.21222432454427</c:v>
                </c:pt>
                <c:pt idx="7">
                  <c:v>-165.32863616943359</c:v>
                </c:pt>
                <c:pt idx="8">
                  <c:v>-167.02183723449707</c:v>
                </c:pt>
                <c:pt idx="9">
                  <c:v>-146.30618794759116</c:v>
                </c:pt>
                <c:pt idx="10">
                  <c:v>210.70504506429037</c:v>
                </c:pt>
                <c:pt idx="11">
                  <c:v>159.35167439778647</c:v>
                </c:pt>
                <c:pt idx="12">
                  <c:v>453.20926411946613</c:v>
                </c:pt>
                <c:pt idx="13">
                  <c:v>1624.3650716145833</c:v>
                </c:pt>
                <c:pt idx="14">
                  <c:v>3881.180908203125</c:v>
                </c:pt>
                <c:pt idx="15">
                  <c:v>8230.630859375</c:v>
                </c:pt>
                <c:pt idx="16">
                  <c:v>16552.3828125</c:v>
                </c:pt>
                <c:pt idx="17">
                  <c:v>31991.690104166668</c:v>
                </c:pt>
                <c:pt idx="18">
                  <c:v>57013.286458333336</c:v>
                </c:pt>
                <c:pt idx="19">
                  <c:v>94091.9296875</c:v>
                </c:pt>
                <c:pt idx="20">
                  <c:v>138481.14583333334</c:v>
                </c:pt>
                <c:pt idx="21">
                  <c:v>185304.52083333334</c:v>
                </c:pt>
                <c:pt idx="22">
                  <c:v>231093.140625</c:v>
                </c:pt>
                <c:pt idx="23">
                  <c:v>273094.73958333331</c:v>
                </c:pt>
                <c:pt idx="24">
                  <c:v>311286.69791666669</c:v>
                </c:pt>
                <c:pt idx="25">
                  <c:v>344787.85416666669</c:v>
                </c:pt>
                <c:pt idx="26">
                  <c:v>373540.94791666669</c:v>
                </c:pt>
                <c:pt idx="27">
                  <c:v>398155.79166666669</c:v>
                </c:pt>
                <c:pt idx="28">
                  <c:v>420090.98958333331</c:v>
                </c:pt>
                <c:pt idx="29">
                  <c:v>439577.52083333331</c:v>
                </c:pt>
                <c:pt idx="30">
                  <c:v>456002.69791666669</c:v>
                </c:pt>
                <c:pt idx="31">
                  <c:v>470623.19791666669</c:v>
                </c:pt>
                <c:pt idx="32">
                  <c:v>483661.97916666669</c:v>
                </c:pt>
                <c:pt idx="33">
                  <c:v>494731.5</c:v>
                </c:pt>
                <c:pt idx="34">
                  <c:v>503161.02083333331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F6-4724-AAF7-E8A0FD9DDAB1}"/>
            </c:ext>
          </c:extLst>
        </c:ser>
        <c:ser>
          <c:idx val="2"/>
          <c:order val="2"/>
          <c:tx>
            <c:strRef>
              <c:f>sample5!$W$1</c:f>
              <c:strCache>
                <c:ptCount val="1"/>
                <c:pt idx="0">
                  <c:v>spring(C)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sample5!$T$2:$T$37</c:f>
              <c:numCache>
                <c:formatCode>#,##0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sample5!$W$2:$W$37</c:f>
              <c:numCache>
                <c:formatCode>#,##0.000</c:formatCode>
                <c:ptCount val="36"/>
                <c:pt idx="0">
                  <c:v>5008.6312917073565</c:v>
                </c:pt>
                <c:pt idx="1">
                  <c:v>5167.366861979167</c:v>
                </c:pt>
                <c:pt idx="2">
                  <c:v>4109.6932373046875</c:v>
                </c:pt>
                <c:pt idx="3">
                  <c:v>3613.822998046875</c:v>
                </c:pt>
                <c:pt idx="4">
                  <c:v>3225.147102355957</c:v>
                </c:pt>
                <c:pt idx="5">
                  <c:v>1927.8732299804688</c:v>
                </c:pt>
                <c:pt idx="6">
                  <c:v>865.86253388722741</c:v>
                </c:pt>
                <c:pt idx="7">
                  <c:v>81.95723406473796</c:v>
                </c:pt>
                <c:pt idx="8">
                  <c:v>-532.64075215657556</c:v>
                </c:pt>
                <c:pt idx="9">
                  <c:v>-1107.7218017578125</c:v>
                </c:pt>
                <c:pt idx="10">
                  <c:v>-1165.3770955403645</c:v>
                </c:pt>
                <c:pt idx="11">
                  <c:v>-1137.1130676269531</c:v>
                </c:pt>
                <c:pt idx="12">
                  <c:v>-1552.3764464060466</c:v>
                </c:pt>
                <c:pt idx="13">
                  <c:v>-1778.7582346598308</c:v>
                </c:pt>
                <c:pt idx="14">
                  <c:v>-1708.3587735493977</c:v>
                </c:pt>
                <c:pt idx="15">
                  <c:v>-1745.7107849121094</c:v>
                </c:pt>
                <c:pt idx="16">
                  <c:v>-1723.3699035644531</c:v>
                </c:pt>
                <c:pt idx="17">
                  <c:v>-1986.8128967285156</c:v>
                </c:pt>
                <c:pt idx="18">
                  <c:v>-2115.1193269888558</c:v>
                </c:pt>
                <c:pt idx="19">
                  <c:v>-2075.4542363484702</c:v>
                </c:pt>
                <c:pt idx="20">
                  <c:v>-1886.1407292683919</c:v>
                </c:pt>
                <c:pt idx="21">
                  <c:v>-1789.738821665446</c:v>
                </c:pt>
                <c:pt idx="22">
                  <c:v>-1531.7703450520833</c:v>
                </c:pt>
                <c:pt idx="23">
                  <c:v>-1187.2693176269531</c:v>
                </c:pt>
                <c:pt idx="24">
                  <c:v>-986.23062133789063</c:v>
                </c:pt>
                <c:pt idx="25">
                  <c:v>-542.96791966756189</c:v>
                </c:pt>
                <c:pt idx="26">
                  <c:v>136.34947204589844</c:v>
                </c:pt>
                <c:pt idx="27">
                  <c:v>664.44550069173181</c:v>
                </c:pt>
                <c:pt idx="28">
                  <c:v>792.6756490071615</c:v>
                </c:pt>
                <c:pt idx="29">
                  <c:v>1007.9539286295573</c:v>
                </c:pt>
                <c:pt idx="30">
                  <c:v>1756.3638102213542</c:v>
                </c:pt>
                <c:pt idx="31">
                  <c:v>2281.2932332356772</c:v>
                </c:pt>
                <c:pt idx="32">
                  <c:v>3130.7758687337241</c:v>
                </c:pt>
                <c:pt idx="33">
                  <c:v>4079.046427408854</c:v>
                </c:pt>
                <c:pt idx="34">
                  <c:v>5058.3571370442705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F6-4724-AAF7-E8A0FD9DDAB1}"/>
            </c:ext>
          </c:extLst>
        </c:ser>
        <c:ser>
          <c:idx val="3"/>
          <c:order val="3"/>
          <c:tx>
            <c:strRef>
              <c:f>sample5!$X$1</c:f>
              <c:strCache>
                <c:ptCount val="1"/>
                <c:pt idx="0">
                  <c:v>fall(C)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sample5!$T$2:$T$37</c:f>
              <c:numCache>
                <c:formatCode>#,##0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sample5!$X$2:$X$37</c:f>
              <c:numCache>
                <c:formatCode>#,##0.000</c:formatCode>
                <c:ptCount val="36"/>
                <c:pt idx="0">
                  <c:v>920.91180419921875</c:v>
                </c:pt>
                <c:pt idx="1">
                  <c:v>3699.9015502929688</c:v>
                </c:pt>
                <c:pt idx="2">
                  <c:v>860.594492594401</c:v>
                </c:pt>
                <c:pt idx="3">
                  <c:v>-577.91043726603186</c:v>
                </c:pt>
                <c:pt idx="4">
                  <c:v>-777.51701863606775</c:v>
                </c:pt>
                <c:pt idx="5">
                  <c:v>-368.06103515625</c:v>
                </c:pt>
                <c:pt idx="6">
                  <c:v>481.62407430013019</c:v>
                </c:pt>
                <c:pt idx="7">
                  <c:v>-218.4564094543457</c:v>
                </c:pt>
                <c:pt idx="8">
                  <c:v>-251.71919250488281</c:v>
                </c:pt>
                <c:pt idx="9">
                  <c:v>996.99457454681396</c:v>
                </c:pt>
                <c:pt idx="10">
                  <c:v>43.08856201171875</c:v>
                </c:pt>
                <c:pt idx="11">
                  <c:v>-100.65865071614583</c:v>
                </c:pt>
                <c:pt idx="12">
                  <c:v>822.794677734375</c:v>
                </c:pt>
                <c:pt idx="13">
                  <c:v>1342.646484375</c:v>
                </c:pt>
                <c:pt idx="14">
                  <c:v>4862.667643229167</c:v>
                </c:pt>
                <c:pt idx="15">
                  <c:v>10938.602701822916</c:v>
                </c:pt>
                <c:pt idx="16">
                  <c:v>25016.932942708332</c:v>
                </c:pt>
                <c:pt idx="17">
                  <c:v>46848.72265625</c:v>
                </c:pt>
                <c:pt idx="18">
                  <c:v>80488.950520833328</c:v>
                </c:pt>
                <c:pt idx="19">
                  <c:v>122070.90104166667</c:v>
                </c:pt>
                <c:pt idx="20">
                  <c:v>163578.16145833334</c:v>
                </c:pt>
                <c:pt idx="21">
                  <c:v>202289.95833333334</c:v>
                </c:pt>
                <c:pt idx="22">
                  <c:v>235190.46875</c:v>
                </c:pt>
                <c:pt idx="23">
                  <c:v>262230.3125</c:v>
                </c:pt>
                <c:pt idx="24">
                  <c:v>285298.765625</c:v>
                </c:pt>
                <c:pt idx="25">
                  <c:v>303107.875</c:v>
                </c:pt>
                <c:pt idx="26">
                  <c:v>316259.09375</c:v>
                </c:pt>
                <c:pt idx="27">
                  <c:v>329311.82291666669</c:v>
                </c:pt>
                <c:pt idx="28">
                  <c:v>338280.66666666669</c:v>
                </c:pt>
                <c:pt idx="29">
                  <c:v>345530.46875</c:v>
                </c:pt>
                <c:pt idx="30">
                  <c:v>351904.38541666669</c:v>
                </c:pt>
                <c:pt idx="31">
                  <c:v>355988.48958333331</c:v>
                </c:pt>
                <c:pt idx="32">
                  <c:v>359796.28125</c:v>
                </c:pt>
                <c:pt idx="33">
                  <c:v>363201.875</c:v>
                </c:pt>
                <c:pt idx="34">
                  <c:v>365986.52083333331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F6-4724-AAF7-E8A0FD9DDAB1}"/>
            </c:ext>
          </c:extLst>
        </c:ser>
        <c:ser>
          <c:idx val="4"/>
          <c:order val="4"/>
          <c:tx>
            <c:strRef>
              <c:f>sample5!$Y$1</c:f>
              <c:strCache>
                <c:ptCount val="1"/>
                <c:pt idx="0">
                  <c:v>summer(D)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sample5!$T$2:$T$37</c:f>
              <c:numCache>
                <c:formatCode>#,##0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sample5!$Y$2:$Y$37</c:f>
              <c:numCache>
                <c:formatCode>#,##0.000</c:formatCode>
                <c:ptCount val="36"/>
                <c:pt idx="0">
                  <c:v>1405.3234456380208</c:v>
                </c:pt>
                <c:pt idx="1">
                  <c:v>517.25179036458337</c:v>
                </c:pt>
                <c:pt idx="2">
                  <c:v>-287.42654546101886</c:v>
                </c:pt>
                <c:pt idx="3">
                  <c:v>-103.43308003743489</c:v>
                </c:pt>
                <c:pt idx="4">
                  <c:v>18.758313496907551</c:v>
                </c:pt>
                <c:pt idx="5">
                  <c:v>-100.71433512369792</c:v>
                </c:pt>
                <c:pt idx="6">
                  <c:v>153.76350911458334</c:v>
                </c:pt>
                <c:pt idx="7">
                  <c:v>114.7986551920573</c:v>
                </c:pt>
                <c:pt idx="8">
                  <c:v>-320.86671956380206</c:v>
                </c:pt>
                <c:pt idx="9">
                  <c:v>-587.25083414713538</c:v>
                </c:pt>
                <c:pt idx="10">
                  <c:v>-150.51256306966147</c:v>
                </c:pt>
                <c:pt idx="11">
                  <c:v>525.86372248331702</c:v>
                </c:pt>
                <c:pt idx="12">
                  <c:v>709.4014790852865</c:v>
                </c:pt>
                <c:pt idx="13">
                  <c:v>175.62413024902344</c:v>
                </c:pt>
                <c:pt idx="14">
                  <c:v>10.862398783365885</c:v>
                </c:pt>
                <c:pt idx="15">
                  <c:v>44.522539774576821</c:v>
                </c:pt>
                <c:pt idx="16">
                  <c:v>278.38320795694989</c:v>
                </c:pt>
                <c:pt idx="17">
                  <c:v>478.69700113932294</c:v>
                </c:pt>
                <c:pt idx="18">
                  <c:v>610.09674072265625</c:v>
                </c:pt>
                <c:pt idx="19">
                  <c:v>814.61889775594079</c:v>
                </c:pt>
                <c:pt idx="20">
                  <c:v>1111.8128916422527</c:v>
                </c:pt>
                <c:pt idx="21">
                  <c:v>1230.897518157959</c:v>
                </c:pt>
                <c:pt idx="22">
                  <c:v>1175.5576477050781</c:v>
                </c:pt>
                <c:pt idx="23">
                  <c:v>1188.3297723134358</c:v>
                </c:pt>
                <c:pt idx="24">
                  <c:v>1243.5914713541667</c:v>
                </c:pt>
                <c:pt idx="25">
                  <c:v>1670.7802734375</c:v>
                </c:pt>
                <c:pt idx="26">
                  <c:v>2483.2685394287109</c:v>
                </c:pt>
                <c:pt idx="27">
                  <c:v>3257.7489878336587</c:v>
                </c:pt>
                <c:pt idx="28">
                  <c:v>4334.3858642578125</c:v>
                </c:pt>
                <c:pt idx="29">
                  <c:v>6796.8427734375</c:v>
                </c:pt>
                <c:pt idx="30">
                  <c:v>10336.87548828125</c:v>
                </c:pt>
                <c:pt idx="31">
                  <c:v>17122.160481770832</c:v>
                </c:pt>
                <c:pt idx="32">
                  <c:v>28989.514322916668</c:v>
                </c:pt>
                <c:pt idx="33">
                  <c:v>49967.662760416664</c:v>
                </c:pt>
                <c:pt idx="34">
                  <c:v>76557.791666666672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0F6-4724-AAF7-E8A0FD9DDAB1}"/>
            </c:ext>
          </c:extLst>
        </c:ser>
        <c:ser>
          <c:idx val="5"/>
          <c:order val="5"/>
          <c:tx>
            <c:strRef>
              <c:f>sample5!$Z$1</c:f>
              <c:strCache>
                <c:ptCount val="1"/>
                <c:pt idx="0">
                  <c:v>winter(D)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sample5!$T$2:$T$37</c:f>
              <c:numCache>
                <c:formatCode>#,##0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sample5!$Z$2:$Z$37</c:f>
              <c:numCache>
                <c:formatCode>#,##0.000</c:formatCode>
                <c:ptCount val="36"/>
                <c:pt idx="0">
                  <c:v>1293.9162190755208</c:v>
                </c:pt>
                <c:pt idx="1">
                  <c:v>1140.1258544921875</c:v>
                </c:pt>
                <c:pt idx="2">
                  <c:v>756.42790222167969</c:v>
                </c:pt>
                <c:pt idx="3">
                  <c:v>561.88232421875</c:v>
                </c:pt>
                <c:pt idx="4">
                  <c:v>329.78599294026691</c:v>
                </c:pt>
                <c:pt idx="5">
                  <c:v>61.812037150065102</c:v>
                </c:pt>
                <c:pt idx="6">
                  <c:v>61.879740397135414</c:v>
                </c:pt>
                <c:pt idx="7">
                  <c:v>316.73001861572266</c:v>
                </c:pt>
                <c:pt idx="8">
                  <c:v>237.51125590006509</c:v>
                </c:pt>
                <c:pt idx="9">
                  <c:v>130.98911794026694</c:v>
                </c:pt>
                <c:pt idx="10">
                  <c:v>215.38624572753906</c:v>
                </c:pt>
                <c:pt idx="11">
                  <c:v>240.35500462849936</c:v>
                </c:pt>
                <c:pt idx="12">
                  <c:v>-77.505668640136719</c:v>
                </c:pt>
                <c:pt idx="13">
                  <c:v>-510.09549458821613</c:v>
                </c:pt>
                <c:pt idx="14">
                  <c:v>-840.05904134114587</c:v>
                </c:pt>
                <c:pt idx="15">
                  <c:v>-934.3702494303385</c:v>
                </c:pt>
                <c:pt idx="16">
                  <c:v>-933.81296793619788</c:v>
                </c:pt>
                <c:pt idx="17">
                  <c:v>-872.574696858724</c:v>
                </c:pt>
                <c:pt idx="18">
                  <c:v>-635.69836489359534</c:v>
                </c:pt>
                <c:pt idx="19">
                  <c:v>-223.95357894897461</c:v>
                </c:pt>
                <c:pt idx="20">
                  <c:v>-138.77650451660156</c:v>
                </c:pt>
                <c:pt idx="21">
                  <c:v>-117.19837951660156</c:v>
                </c:pt>
                <c:pt idx="22">
                  <c:v>56.321154276529946</c:v>
                </c:pt>
                <c:pt idx="23">
                  <c:v>344.32244618733722</c:v>
                </c:pt>
                <c:pt idx="24">
                  <c:v>-2.543426513671875</c:v>
                </c:pt>
                <c:pt idx="25">
                  <c:v>-27.34161376953125</c:v>
                </c:pt>
                <c:pt idx="26">
                  <c:v>25.855010350545246</c:v>
                </c:pt>
                <c:pt idx="27">
                  <c:v>45.051623026529946</c:v>
                </c:pt>
                <c:pt idx="28">
                  <c:v>500.82765197753906</c:v>
                </c:pt>
                <c:pt idx="29">
                  <c:v>541.31594848632813</c:v>
                </c:pt>
                <c:pt idx="30">
                  <c:v>525.02556864420569</c:v>
                </c:pt>
                <c:pt idx="31">
                  <c:v>580.6909519135952</c:v>
                </c:pt>
                <c:pt idx="32">
                  <c:v>598.64665985107422</c:v>
                </c:pt>
                <c:pt idx="33">
                  <c:v>749.53862603505456</c:v>
                </c:pt>
                <c:pt idx="34">
                  <c:v>772.15579223632813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0F6-4724-AAF7-E8A0FD9DDAB1}"/>
            </c:ext>
          </c:extLst>
        </c:ser>
        <c:ser>
          <c:idx val="6"/>
          <c:order val="6"/>
          <c:tx>
            <c:strRef>
              <c:f>sample5!$AA$1</c:f>
              <c:strCache>
                <c:ptCount val="1"/>
                <c:pt idx="0">
                  <c:v>spring(D)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sample5!$T$2:$T$37</c:f>
              <c:numCache>
                <c:formatCode>#,##0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sample5!$AA$2:$AA$37</c:f>
              <c:numCache>
                <c:formatCode>#,##0.000</c:formatCode>
                <c:ptCount val="36"/>
                <c:pt idx="0">
                  <c:v>1038.630350748698</c:v>
                </c:pt>
                <c:pt idx="1">
                  <c:v>849.48823038736975</c:v>
                </c:pt>
                <c:pt idx="2">
                  <c:v>518.46719360351563</c:v>
                </c:pt>
                <c:pt idx="3">
                  <c:v>156.20265706380209</c:v>
                </c:pt>
                <c:pt idx="4">
                  <c:v>113.58786010742188</c:v>
                </c:pt>
                <c:pt idx="5">
                  <c:v>343.88192240397137</c:v>
                </c:pt>
                <c:pt idx="6">
                  <c:v>219.55748494466147</c:v>
                </c:pt>
                <c:pt idx="7">
                  <c:v>-192.21616252263388</c:v>
                </c:pt>
                <c:pt idx="8">
                  <c:v>-317.79840596516925</c:v>
                </c:pt>
                <c:pt idx="9">
                  <c:v>-75.547319412231445</c:v>
                </c:pt>
                <c:pt idx="10">
                  <c:v>152.00976498921713</c:v>
                </c:pt>
                <c:pt idx="11">
                  <c:v>201.45355733235678</c:v>
                </c:pt>
                <c:pt idx="12">
                  <c:v>-136.65732828776041</c:v>
                </c:pt>
                <c:pt idx="13">
                  <c:v>-494.80859565734863</c:v>
                </c:pt>
                <c:pt idx="14">
                  <c:v>-412.58353678385419</c:v>
                </c:pt>
                <c:pt idx="15">
                  <c:v>-295.13973999023438</c:v>
                </c:pt>
                <c:pt idx="16">
                  <c:v>-83.749318440755204</c:v>
                </c:pt>
                <c:pt idx="17">
                  <c:v>57.212717692057289</c:v>
                </c:pt>
                <c:pt idx="18">
                  <c:v>317.51457977294922</c:v>
                </c:pt>
                <c:pt idx="19">
                  <c:v>130.82556660970053</c:v>
                </c:pt>
                <c:pt idx="20">
                  <c:v>-218.19808451334634</c:v>
                </c:pt>
                <c:pt idx="21">
                  <c:v>-411.81028238932294</c:v>
                </c:pt>
                <c:pt idx="22">
                  <c:v>-299.74539184570313</c:v>
                </c:pt>
                <c:pt idx="23">
                  <c:v>-112.02683512369792</c:v>
                </c:pt>
                <c:pt idx="24">
                  <c:v>13.351847330729166</c:v>
                </c:pt>
                <c:pt idx="25">
                  <c:v>186.34122212727866</c:v>
                </c:pt>
                <c:pt idx="26">
                  <c:v>123.67174275716145</c:v>
                </c:pt>
                <c:pt idx="27">
                  <c:v>160.18323262532553</c:v>
                </c:pt>
                <c:pt idx="28">
                  <c:v>312.58017476399738</c:v>
                </c:pt>
                <c:pt idx="29">
                  <c:v>-169.12446848551431</c:v>
                </c:pt>
                <c:pt idx="30">
                  <c:v>-419.11947631835938</c:v>
                </c:pt>
                <c:pt idx="31">
                  <c:v>-243.13009452819824</c:v>
                </c:pt>
                <c:pt idx="32">
                  <c:v>-87.76182746887207</c:v>
                </c:pt>
                <c:pt idx="33">
                  <c:v>285.1337890625</c:v>
                </c:pt>
                <c:pt idx="34">
                  <c:v>335.11406071980792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0F6-4724-AAF7-E8A0FD9DDAB1}"/>
            </c:ext>
          </c:extLst>
        </c:ser>
        <c:ser>
          <c:idx val="7"/>
          <c:order val="7"/>
          <c:tx>
            <c:strRef>
              <c:f>sample5!$AB$1</c:f>
              <c:strCache>
                <c:ptCount val="1"/>
                <c:pt idx="0">
                  <c:v>fall(D)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sample5!$T$2:$T$37</c:f>
              <c:numCache>
                <c:formatCode>#,##0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sample5!$AB$2:$AB$37</c:f>
              <c:numCache>
                <c:formatCode>#,##0.000</c:formatCode>
                <c:ptCount val="36"/>
                <c:pt idx="0">
                  <c:v>398.88056945800781</c:v>
                </c:pt>
                <c:pt idx="1">
                  <c:v>290.8431345621745</c:v>
                </c:pt>
                <c:pt idx="2">
                  <c:v>258.42812601725262</c:v>
                </c:pt>
                <c:pt idx="3">
                  <c:v>231.71882883707681</c:v>
                </c:pt>
                <c:pt idx="4">
                  <c:v>110.90015538533528</c:v>
                </c:pt>
                <c:pt idx="5">
                  <c:v>-7.7674700419108076</c:v>
                </c:pt>
                <c:pt idx="6">
                  <c:v>43.602661768595375</c:v>
                </c:pt>
                <c:pt idx="7">
                  <c:v>-260.37226359049481</c:v>
                </c:pt>
                <c:pt idx="8">
                  <c:v>-358.40315755208331</c:v>
                </c:pt>
                <c:pt idx="9">
                  <c:v>-48.629384358723961</c:v>
                </c:pt>
                <c:pt idx="10">
                  <c:v>-145.80742518107095</c:v>
                </c:pt>
                <c:pt idx="11">
                  <c:v>-73.374796549479171</c:v>
                </c:pt>
                <c:pt idx="12">
                  <c:v>99.579973856608078</c:v>
                </c:pt>
                <c:pt idx="13">
                  <c:v>-47.625413576761879</c:v>
                </c:pt>
                <c:pt idx="14">
                  <c:v>-35.352935791015625</c:v>
                </c:pt>
                <c:pt idx="15">
                  <c:v>24.614852905273438</c:v>
                </c:pt>
                <c:pt idx="16">
                  <c:v>-48.383504231770836</c:v>
                </c:pt>
                <c:pt idx="17">
                  <c:v>-152.84279123942056</c:v>
                </c:pt>
                <c:pt idx="18">
                  <c:v>-125.52605438232422</c:v>
                </c:pt>
                <c:pt idx="19">
                  <c:v>198.02506891886392</c:v>
                </c:pt>
                <c:pt idx="20">
                  <c:v>163.93818155924478</c:v>
                </c:pt>
                <c:pt idx="21">
                  <c:v>77.416384379069015</c:v>
                </c:pt>
                <c:pt idx="22">
                  <c:v>192.9310442606608</c:v>
                </c:pt>
                <c:pt idx="23">
                  <c:v>368.26471201578778</c:v>
                </c:pt>
                <c:pt idx="24">
                  <c:v>707.85493342081702</c:v>
                </c:pt>
                <c:pt idx="25">
                  <c:v>1020.9984842936198</c:v>
                </c:pt>
                <c:pt idx="26">
                  <c:v>1306.0548299153645</c:v>
                </c:pt>
                <c:pt idx="27">
                  <c:v>2088.242635091146</c:v>
                </c:pt>
                <c:pt idx="28">
                  <c:v>3974.2899576822915</c:v>
                </c:pt>
                <c:pt idx="29">
                  <c:v>7065.76416015625</c:v>
                </c:pt>
                <c:pt idx="30">
                  <c:v>12415.977864583334</c:v>
                </c:pt>
                <c:pt idx="31">
                  <c:v>23045.929036458332</c:v>
                </c:pt>
                <c:pt idx="32">
                  <c:v>43270.415364583336</c:v>
                </c:pt>
                <c:pt idx="33">
                  <c:v>77384</c:v>
                </c:pt>
                <c:pt idx="34">
                  <c:v>118531.46875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0F6-4724-AAF7-E8A0FD9DD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728255"/>
        <c:axId val="291723263"/>
      </c:scatterChart>
      <c:valAx>
        <c:axId val="29172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23263"/>
        <c:crosses val="autoZero"/>
        <c:crossBetween val="midCat"/>
      </c:valAx>
      <c:valAx>
        <c:axId val="29172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2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Acropora nana (WLT)5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sample6!$U$1</c:f>
              <c:strCache>
                <c:ptCount val="1"/>
                <c:pt idx="0">
                  <c:v>summer(C)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sample6!$T$2:$T$36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sample6!$U$2:$U$36</c:f>
              <c:numCache>
                <c:formatCode>#,##0.000</c:formatCode>
                <c:ptCount val="35"/>
                <c:pt idx="0">
                  <c:v>-326.85342407226563</c:v>
                </c:pt>
                <c:pt idx="1">
                  <c:v>108.28620274861653</c:v>
                </c:pt>
                <c:pt idx="2">
                  <c:v>126.89529291788737</c:v>
                </c:pt>
                <c:pt idx="3">
                  <c:v>21.204213460286457</c:v>
                </c:pt>
                <c:pt idx="4">
                  <c:v>-52.544779459635414</c:v>
                </c:pt>
                <c:pt idx="5">
                  <c:v>-260.38949584960938</c:v>
                </c:pt>
                <c:pt idx="6">
                  <c:v>-62.480939229329429</c:v>
                </c:pt>
                <c:pt idx="7">
                  <c:v>55.290227254231773</c:v>
                </c:pt>
                <c:pt idx="8">
                  <c:v>365.65190124511719</c:v>
                </c:pt>
                <c:pt idx="9">
                  <c:v>-193.62639363606772</c:v>
                </c:pt>
                <c:pt idx="10">
                  <c:v>43.090081532796226</c:v>
                </c:pt>
                <c:pt idx="11">
                  <c:v>1091.907450358073</c:v>
                </c:pt>
                <c:pt idx="12">
                  <c:v>2301.8465983072915</c:v>
                </c:pt>
                <c:pt idx="13">
                  <c:v>3950.7877604166665</c:v>
                </c:pt>
                <c:pt idx="14">
                  <c:v>7921.61181640625</c:v>
                </c:pt>
                <c:pt idx="15">
                  <c:v>13730.262369791666</c:v>
                </c:pt>
                <c:pt idx="16">
                  <c:v>24899.919270833332</c:v>
                </c:pt>
                <c:pt idx="17">
                  <c:v>45352.220052083336</c:v>
                </c:pt>
                <c:pt idx="18">
                  <c:v>79015.606770833328</c:v>
                </c:pt>
                <c:pt idx="19">
                  <c:v>129825.77604166667</c:v>
                </c:pt>
                <c:pt idx="20">
                  <c:v>191962.5625</c:v>
                </c:pt>
                <c:pt idx="21">
                  <c:v>252022.93229166666</c:v>
                </c:pt>
                <c:pt idx="22">
                  <c:v>304681.20833333331</c:v>
                </c:pt>
                <c:pt idx="23">
                  <c:v>347372.54166666669</c:v>
                </c:pt>
                <c:pt idx="24">
                  <c:v>380463.57291666669</c:v>
                </c:pt>
                <c:pt idx="25">
                  <c:v>406912.65625</c:v>
                </c:pt>
                <c:pt idx="26">
                  <c:v>427017.6875</c:v>
                </c:pt>
                <c:pt idx="27">
                  <c:v>442673.90625</c:v>
                </c:pt>
                <c:pt idx="28">
                  <c:v>455472.44791666669</c:v>
                </c:pt>
                <c:pt idx="29">
                  <c:v>466199.9375</c:v>
                </c:pt>
                <c:pt idx="30">
                  <c:v>473878.45833333331</c:v>
                </c:pt>
                <c:pt idx="31">
                  <c:v>479974.78125</c:v>
                </c:pt>
                <c:pt idx="32">
                  <c:v>484688.73958333331</c:v>
                </c:pt>
                <c:pt idx="33">
                  <c:v>487923.02083333331</c:v>
                </c:pt>
                <c:pt idx="34">
                  <c:v>489348.67708333331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73-4EA9-BD2C-1971884A5F90}"/>
            </c:ext>
          </c:extLst>
        </c:ser>
        <c:ser>
          <c:idx val="1"/>
          <c:order val="1"/>
          <c:tx>
            <c:strRef>
              <c:f>sample6!$V$1</c:f>
              <c:strCache>
                <c:ptCount val="1"/>
                <c:pt idx="0">
                  <c:v>winter(C)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sample6!$T$2:$T$36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sample6!$V$2:$V$36</c:f>
              <c:numCache>
                <c:formatCode>#,##0.000</c:formatCode>
                <c:ptCount val="35"/>
                <c:pt idx="0">
                  <c:v>-893.19999186197913</c:v>
                </c:pt>
                <c:pt idx="1">
                  <c:v>-632.40069580078125</c:v>
                </c:pt>
                <c:pt idx="2">
                  <c:v>-99.619557698567704</c:v>
                </c:pt>
                <c:pt idx="3">
                  <c:v>-271.46343994140625</c:v>
                </c:pt>
                <c:pt idx="4">
                  <c:v>4.2604077657063799</c:v>
                </c:pt>
                <c:pt idx="5">
                  <c:v>350.25507609049481</c:v>
                </c:pt>
                <c:pt idx="6">
                  <c:v>186.95026652018228</c:v>
                </c:pt>
                <c:pt idx="7">
                  <c:v>-24.336318333943684</c:v>
                </c:pt>
                <c:pt idx="8">
                  <c:v>73.239077250162765</c:v>
                </c:pt>
                <c:pt idx="9">
                  <c:v>-109.75974273681641</c:v>
                </c:pt>
                <c:pt idx="10">
                  <c:v>23.673731803894043</c:v>
                </c:pt>
                <c:pt idx="11">
                  <c:v>203.21136474609375</c:v>
                </c:pt>
                <c:pt idx="12">
                  <c:v>541.52503967285156</c:v>
                </c:pt>
                <c:pt idx="13">
                  <c:v>1242.4481506347656</c:v>
                </c:pt>
                <c:pt idx="14">
                  <c:v>2816.4974365234375</c:v>
                </c:pt>
                <c:pt idx="15">
                  <c:v>5886.059895833333</c:v>
                </c:pt>
                <c:pt idx="16">
                  <c:v>12441.748372395834</c:v>
                </c:pt>
                <c:pt idx="17">
                  <c:v>24617.305338541668</c:v>
                </c:pt>
                <c:pt idx="18">
                  <c:v>45442.346354166664</c:v>
                </c:pt>
                <c:pt idx="19">
                  <c:v>78198.1015625</c:v>
                </c:pt>
                <c:pt idx="20">
                  <c:v>120958.91145833333</c:v>
                </c:pt>
                <c:pt idx="21">
                  <c:v>168754.55729166666</c:v>
                </c:pt>
                <c:pt idx="22">
                  <c:v>215678.78645833334</c:v>
                </c:pt>
                <c:pt idx="23">
                  <c:v>259799.984375</c:v>
                </c:pt>
                <c:pt idx="24">
                  <c:v>299282.4375</c:v>
                </c:pt>
                <c:pt idx="25">
                  <c:v>334448.92708333331</c:v>
                </c:pt>
                <c:pt idx="26">
                  <c:v>365934.83333333331</c:v>
                </c:pt>
                <c:pt idx="27">
                  <c:v>394203.90625</c:v>
                </c:pt>
                <c:pt idx="28">
                  <c:v>418505.5</c:v>
                </c:pt>
                <c:pt idx="29">
                  <c:v>440592.22916666669</c:v>
                </c:pt>
                <c:pt idx="30">
                  <c:v>459543.625</c:v>
                </c:pt>
                <c:pt idx="31">
                  <c:v>476185.04166666669</c:v>
                </c:pt>
                <c:pt idx="32">
                  <c:v>490585.8125</c:v>
                </c:pt>
                <c:pt idx="33">
                  <c:v>503363.78125</c:v>
                </c:pt>
                <c:pt idx="34">
                  <c:v>512298.47916666669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73-4EA9-BD2C-1971884A5F90}"/>
            </c:ext>
          </c:extLst>
        </c:ser>
        <c:ser>
          <c:idx val="2"/>
          <c:order val="2"/>
          <c:tx>
            <c:strRef>
              <c:f>sample6!$W$1</c:f>
              <c:strCache>
                <c:ptCount val="1"/>
                <c:pt idx="0">
                  <c:v>spring(C)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sample6!$T$2:$T$36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sample6!$W$2:$W$36</c:f>
              <c:numCache>
                <c:formatCode>#,##0.000</c:formatCode>
                <c:ptCount val="35"/>
                <c:pt idx="0">
                  <c:v>-303.49403889973956</c:v>
                </c:pt>
                <c:pt idx="1">
                  <c:v>-167.76605987548828</c:v>
                </c:pt>
                <c:pt idx="2">
                  <c:v>-196.65397389729819</c:v>
                </c:pt>
                <c:pt idx="3">
                  <c:v>-82.109588623046875</c:v>
                </c:pt>
                <c:pt idx="4">
                  <c:v>128.09428532918295</c:v>
                </c:pt>
                <c:pt idx="5">
                  <c:v>-29.950515747070313</c:v>
                </c:pt>
                <c:pt idx="6">
                  <c:v>81.129667917887375</c:v>
                </c:pt>
                <c:pt idx="7">
                  <c:v>525.92666117350257</c:v>
                </c:pt>
                <c:pt idx="8">
                  <c:v>699.12072881062829</c:v>
                </c:pt>
                <c:pt idx="9">
                  <c:v>245.76996358235678</c:v>
                </c:pt>
                <c:pt idx="10">
                  <c:v>103.83973693847656</c:v>
                </c:pt>
                <c:pt idx="11">
                  <c:v>-212.23763020833334</c:v>
                </c:pt>
                <c:pt idx="12">
                  <c:v>-597.8162841796875</c:v>
                </c:pt>
                <c:pt idx="13">
                  <c:v>-625.70485432942712</c:v>
                </c:pt>
                <c:pt idx="14">
                  <c:v>-230.55435188611349</c:v>
                </c:pt>
                <c:pt idx="15">
                  <c:v>62.304476420084633</c:v>
                </c:pt>
                <c:pt idx="16">
                  <c:v>-24.131609757741291</c:v>
                </c:pt>
                <c:pt idx="17">
                  <c:v>-187.46939341227213</c:v>
                </c:pt>
                <c:pt idx="18">
                  <c:v>-155.60339482625326</c:v>
                </c:pt>
                <c:pt idx="19">
                  <c:v>33.813379923502602</c:v>
                </c:pt>
                <c:pt idx="20">
                  <c:v>36.397472381591797</c:v>
                </c:pt>
                <c:pt idx="21">
                  <c:v>25.358522415161133</c:v>
                </c:pt>
                <c:pt idx="22">
                  <c:v>-31.503349304199219</c:v>
                </c:pt>
                <c:pt idx="23">
                  <c:v>118.99935913085938</c:v>
                </c:pt>
                <c:pt idx="24">
                  <c:v>39.700646718343101</c:v>
                </c:pt>
                <c:pt idx="25">
                  <c:v>-67.407969156901046</c:v>
                </c:pt>
                <c:pt idx="26">
                  <c:v>-3.9469210306803384</c:v>
                </c:pt>
                <c:pt idx="27">
                  <c:v>259.99718983968097</c:v>
                </c:pt>
                <c:pt idx="28">
                  <c:v>423.87296040852863</c:v>
                </c:pt>
                <c:pt idx="29">
                  <c:v>479.22724660237628</c:v>
                </c:pt>
                <c:pt idx="30">
                  <c:v>508.86276086171466</c:v>
                </c:pt>
                <c:pt idx="31">
                  <c:v>305.56793721516925</c:v>
                </c:pt>
                <c:pt idx="32">
                  <c:v>395.79854520161945</c:v>
                </c:pt>
                <c:pt idx="33">
                  <c:v>774.68080139160156</c:v>
                </c:pt>
                <c:pt idx="34">
                  <c:v>1054.8866322835286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73-4EA9-BD2C-1971884A5F90}"/>
            </c:ext>
          </c:extLst>
        </c:ser>
        <c:ser>
          <c:idx val="3"/>
          <c:order val="3"/>
          <c:tx>
            <c:strRef>
              <c:f>sample6!$X$1</c:f>
              <c:strCache>
                <c:ptCount val="1"/>
                <c:pt idx="0">
                  <c:v>fall(C)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sample6!$T$2:$T$36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sample6!$X$2:$X$36</c:f>
              <c:numCache>
                <c:formatCode>#,##0.000</c:formatCode>
                <c:ptCount val="35"/>
                <c:pt idx="0">
                  <c:v>-443.67774454752606</c:v>
                </c:pt>
                <c:pt idx="1">
                  <c:v>-568.69036865234375</c:v>
                </c:pt>
                <c:pt idx="2">
                  <c:v>-251.53636169433594</c:v>
                </c:pt>
                <c:pt idx="3">
                  <c:v>-0.8003145853678385</c:v>
                </c:pt>
                <c:pt idx="4">
                  <c:v>-93.9249267578125</c:v>
                </c:pt>
                <c:pt idx="5">
                  <c:v>79.31893666585286</c:v>
                </c:pt>
                <c:pt idx="6">
                  <c:v>416.13440958658856</c:v>
                </c:pt>
                <c:pt idx="7">
                  <c:v>109.53584289550781</c:v>
                </c:pt>
                <c:pt idx="8">
                  <c:v>22.077879905700684</c:v>
                </c:pt>
                <c:pt idx="9">
                  <c:v>-25.089715639750164</c:v>
                </c:pt>
                <c:pt idx="10">
                  <c:v>-83.078910827636719</c:v>
                </c:pt>
                <c:pt idx="11">
                  <c:v>0.28082402547200519</c:v>
                </c:pt>
                <c:pt idx="12">
                  <c:v>669.29034423828125</c:v>
                </c:pt>
                <c:pt idx="13">
                  <c:v>1412.2268218994141</c:v>
                </c:pt>
                <c:pt idx="14">
                  <c:v>3562.396687825521</c:v>
                </c:pt>
                <c:pt idx="15">
                  <c:v>7583.722330729167</c:v>
                </c:pt>
                <c:pt idx="16">
                  <c:v>15528.345377604166</c:v>
                </c:pt>
                <c:pt idx="17">
                  <c:v>30369.762369791668</c:v>
                </c:pt>
                <c:pt idx="18">
                  <c:v>56146.571614583336</c:v>
                </c:pt>
                <c:pt idx="19">
                  <c:v>96031.765625</c:v>
                </c:pt>
                <c:pt idx="20">
                  <c:v>148838.1796875</c:v>
                </c:pt>
                <c:pt idx="21">
                  <c:v>205895.70833333334</c:v>
                </c:pt>
                <c:pt idx="22">
                  <c:v>260352.23958333334</c:v>
                </c:pt>
                <c:pt idx="23">
                  <c:v>309409.14583333331</c:v>
                </c:pt>
                <c:pt idx="24">
                  <c:v>352474.68229166669</c:v>
                </c:pt>
                <c:pt idx="25">
                  <c:v>388378.66145833331</c:v>
                </c:pt>
                <c:pt idx="26">
                  <c:v>417879.42708333331</c:v>
                </c:pt>
                <c:pt idx="27">
                  <c:v>442693.078125</c:v>
                </c:pt>
                <c:pt idx="28">
                  <c:v>463099.88541666669</c:v>
                </c:pt>
                <c:pt idx="29">
                  <c:v>480645.26041666669</c:v>
                </c:pt>
                <c:pt idx="30">
                  <c:v>494857.89583333331</c:v>
                </c:pt>
                <c:pt idx="31">
                  <c:v>506880.875</c:v>
                </c:pt>
                <c:pt idx="32">
                  <c:v>516819.63541666669</c:v>
                </c:pt>
                <c:pt idx="33">
                  <c:v>525184.86458333337</c:v>
                </c:pt>
                <c:pt idx="34">
                  <c:v>530104.17708333337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73-4EA9-BD2C-1971884A5F90}"/>
            </c:ext>
          </c:extLst>
        </c:ser>
        <c:ser>
          <c:idx val="4"/>
          <c:order val="4"/>
          <c:tx>
            <c:strRef>
              <c:f>sample6!$Y$1</c:f>
              <c:strCache>
                <c:ptCount val="1"/>
                <c:pt idx="0">
                  <c:v>summer(D)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sample6!$T$2:$T$36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sample6!$Y$2:$Y$36</c:f>
              <c:numCache>
                <c:formatCode>#,##0.000</c:formatCode>
                <c:ptCount val="35"/>
                <c:pt idx="0">
                  <c:v>850.39970906575525</c:v>
                </c:pt>
                <c:pt idx="1">
                  <c:v>593.1302490234375</c:v>
                </c:pt>
                <c:pt idx="2">
                  <c:v>374.16019694010419</c:v>
                </c:pt>
                <c:pt idx="3">
                  <c:v>390.67455037434894</c:v>
                </c:pt>
                <c:pt idx="4">
                  <c:v>297.72273254394531</c:v>
                </c:pt>
                <c:pt idx="5">
                  <c:v>-63.617085774739586</c:v>
                </c:pt>
                <c:pt idx="6">
                  <c:v>-281.27200826009113</c:v>
                </c:pt>
                <c:pt idx="7">
                  <c:v>-234.73422241210938</c:v>
                </c:pt>
                <c:pt idx="8">
                  <c:v>-23.46466064453125</c:v>
                </c:pt>
                <c:pt idx="9">
                  <c:v>107.74497985839844</c:v>
                </c:pt>
                <c:pt idx="10">
                  <c:v>-137.82921854654947</c:v>
                </c:pt>
                <c:pt idx="11">
                  <c:v>-383.976318359375</c:v>
                </c:pt>
                <c:pt idx="12">
                  <c:v>-165.58697509765625</c:v>
                </c:pt>
                <c:pt idx="13">
                  <c:v>-138.78357696533203</c:v>
                </c:pt>
                <c:pt idx="14">
                  <c:v>-120.15204366048177</c:v>
                </c:pt>
                <c:pt idx="15">
                  <c:v>-121.80435180664063</c:v>
                </c:pt>
                <c:pt idx="16">
                  <c:v>-74.378557840983078</c:v>
                </c:pt>
                <c:pt idx="17">
                  <c:v>-198.04649861653647</c:v>
                </c:pt>
                <c:pt idx="18">
                  <c:v>-96.961850484212235</c:v>
                </c:pt>
                <c:pt idx="19">
                  <c:v>92.698338826497391</c:v>
                </c:pt>
                <c:pt idx="20">
                  <c:v>116.18403498331706</c:v>
                </c:pt>
                <c:pt idx="21">
                  <c:v>180.06036376953125</c:v>
                </c:pt>
                <c:pt idx="22">
                  <c:v>122.05126317342122</c:v>
                </c:pt>
                <c:pt idx="23">
                  <c:v>193.83384068806967</c:v>
                </c:pt>
                <c:pt idx="24">
                  <c:v>186.19975789388022</c:v>
                </c:pt>
                <c:pt idx="25">
                  <c:v>191.07087198893228</c:v>
                </c:pt>
                <c:pt idx="26">
                  <c:v>364.57218424479169</c:v>
                </c:pt>
                <c:pt idx="27">
                  <c:v>740.99020258585608</c:v>
                </c:pt>
                <c:pt idx="28">
                  <c:v>1311.186787923177</c:v>
                </c:pt>
                <c:pt idx="29">
                  <c:v>1739.9381510416667</c:v>
                </c:pt>
                <c:pt idx="30">
                  <c:v>2669.8118489583335</c:v>
                </c:pt>
                <c:pt idx="31">
                  <c:v>4583.958984375</c:v>
                </c:pt>
                <c:pt idx="32">
                  <c:v>7609.939534505208</c:v>
                </c:pt>
                <c:pt idx="33">
                  <c:v>13479.427571614584</c:v>
                </c:pt>
                <c:pt idx="34">
                  <c:v>21429.580078125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73-4EA9-BD2C-1971884A5F90}"/>
            </c:ext>
          </c:extLst>
        </c:ser>
        <c:ser>
          <c:idx val="5"/>
          <c:order val="5"/>
          <c:tx>
            <c:strRef>
              <c:f>sample6!$Z$1</c:f>
              <c:strCache>
                <c:ptCount val="1"/>
                <c:pt idx="0">
                  <c:v>winter(D)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sample6!$T$2:$T$36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sample6!$Z$2:$Z$36</c:f>
              <c:numCache>
                <c:formatCode>#,##0.000</c:formatCode>
                <c:ptCount val="35"/>
                <c:pt idx="0">
                  <c:v>146.65822347005209</c:v>
                </c:pt>
                <c:pt idx="1">
                  <c:v>217.91233317057291</c:v>
                </c:pt>
                <c:pt idx="2">
                  <c:v>583.14302571614587</c:v>
                </c:pt>
                <c:pt idx="3">
                  <c:v>371.730463663737</c:v>
                </c:pt>
                <c:pt idx="4">
                  <c:v>27.614786783854168</c:v>
                </c:pt>
                <c:pt idx="5">
                  <c:v>-118.49047597249348</c:v>
                </c:pt>
                <c:pt idx="6">
                  <c:v>-212.46293004353842</c:v>
                </c:pt>
                <c:pt idx="7">
                  <c:v>-103.43276214599609</c:v>
                </c:pt>
                <c:pt idx="8">
                  <c:v>197.09217834472656</c:v>
                </c:pt>
                <c:pt idx="9">
                  <c:v>129.22909736633301</c:v>
                </c:pt>
                <c:pt idx="10">
                  <c:v>-78.120956420898438</c:v>
                </c:pt>
                <c:pt idx="11">
                  <c:v>-167.58559672037759</c:v>
                </c:pt>
                <c:pt idx="12">
                  <c:v>-81.034614562988281</c:v>
                </c:pt>
                <c:pt idx="13">
                  <c:v>-176.33517901102701</c:v>
                </c:pt>
                <c:pt idx="14">
                  <c:v>-258.91439692179364</c:v>
                </c:pt>
                <c:pt idx="15">
                  <c:v>-319.92851511637372</c:v>
                </c:pt>
                <c:pt idx="16">
                  <c:v>-264.45565541585285</c:v>
                </c:pt>
                <c:pt idx="17">
                  <c:v>-235.77706146240234</c:v>
                </c:pt>
                <c:pt idx="18">
                  <c:v>-524.54377746582031</c:v>
                </c:pt>
                <c:pt idx="19">
                  <c:v>-448.71676635742188</c:v>
                </c:pt>
                <c:pt idx="20">
                  <c:v>144.03995768229166</c:v>
                </c:pt>
                <c:pt idx="21">
                  <c:v>477.87220255533856</c:v>
                </c:pt>
                <c:pt idx="22">
                  <c:v>217.42058308919272</c:v>
                </c:pt>
                <c:pt idx="23">
                  <c:v>211.27365620930991</c:v>
                </c:pt>
                <c:pt idx="24">
                  <c:v>408.85067494710285</c:v>
                </c:pt>
                <c:pt idx="25">
                  <c:v>640.74281819661462</c:v>
                </c:pt>
                <c:pt idx="26">
                  <c:v>797.8797607421875</c:v>
                </c:pt>
                <c:pt idx="27">
                  <c:v>909.2249755859375</c:v>
                </c:pt>
                <c:pt idx="28">
                  <c:v>1000.3488972981771</c:v>
                </c:pt>
                <c:pt idx="29">
                  <c:v>1203.8634236653645</c:v>
                </c:pt>
                <c:pt idx="30">
                  <c:v>1621.607157389323</c:v>
                </c:pt>
                <c:pt idx="31">
                  <c:v>2370.3456420898438</c:v>
                </c:pt>
                <c:pt idx="32">
                  <c:v>3871.8314615885415</c:v>
                </c:pt>
                <c:pt idx="33">
                  <c:v>6519.859049479167</c:v>
                </c:pt>
                <c:pt idx="34">
                  <c:v>10433.38134765625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E73-4EA9-BD2C-1971884A5F90}"/>
            </c:ext>
          </c:extLst>
        </c:ser>
        <c:ser>
          <c:idx val="6"/>
          <c:order val="6"/>
          <c:tx>
            <c:strRef>
              <c:f>sample6!$AA$1</c:f>
              <c:strCache>
                <c:ptCount val="1"/>
                <c:pt idx="0">
                  <c:v>spring(D)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sample6!$T$2:$T$36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sample6!$AA$2:$AA$36</c:f>
              <c:numCache>
                <c:formatCode>#,##0.000</c:formatCode>
                <c:ptCount val="35"/>
                <c:pt idx="0">
                  <c:v>261.51073201497394</c:v>
                </c:pt>
                <c:pt idx="1">
                  <c:v>165.58577473958334</c:v>
                </c:pt>
                <c:pt idx="2">
                  <c:v>68.185525258382157</c:v>
                </c:pt>
                <c:pt idx="3">
                  <c:v>86.09257062276204</c:v>
                </c:pt>
                <c:pt idx="4">
                  <c:v>282.04520670572919</c:v>
                </c:pt>
                <c:pt idx="5">
                  <c:v>235.62152099609375</c:v>
                </c:pt>
                <c:pt idx="6">
                  <c:v>94.541586716969803</c:v>
                </c:pt>
                <c:pt idx="7">
                  <c:v>-287.97584279378253</c:v>
                </c:pt>
                <c:pt idx="8">
                  <c:v>-341.7510821024577</c:v>
                </c:pt>
                <c:pt idx="9">
                  <c:v>-197.15783182779947</c:v>
                </c:pt>
                <c:pt idx="10">
                  <c:v>-63.785945494969688</c:v>
                </c:pt>
                <c:pt idx="11">
                  <c:v>-93.108058929443359</c:v>
                </c:pt>
                <c:pt idx="12">
                  <c:v>88.621905008951828</c:v>
                </c:pt>
                <c:pt idx="13">
                  <c:v>118.13833109537761</c:v>
                </c:pt>
                <c:pt idx="14">
                  <c:v>90.804494222005204</c:v>
                </c:pt>
                <c:pt idx="15">
                  <c:v>5.8808110555013018</c:v>
                </c:pt>
                <c:pt idx="16">
                  <c:v>188.13031005859375</c:v>
                </c:pt>
                <c:pt idx="17">
                  <c:v>146.29257202148438</c:v>
                </c:pt>
                <c:pt idx="18">
                  <c:v>229.27384440104166</c:v>
                </c:pt>
                <c:pt idx="19">
                  <c:v>3.88140869140625</c:v>
                </c:pt>
                <c:pt idx="20">
                  <c:v>123.86787923177083</c:v>
                </c:pt>
                <c:pt idx="21">
                  <c:v>112.5040995279948</c:v>
                </c:pt>
                <c:pt idx="22">
                  <c:v>121.37208811442058</c:v>
                </c:pt>
                <c:pt idx="23">
                  <c:v>457.29346720377606</c:v>
                </c:pt>
                <c:pt idx="24">
                  <c:v>373.40232849121094</c:v>
                </c:pt>
                <c:pt idx="25">
                  <c:v>367.84715016682941</c:v>
                </c:pt>
                <c:pt idx="26">
                  <c:v>541.51850891113281</c:v>
                </c:pt>
                <c:pt idx="27">
                  <c:v>475.45420328776044</c:v>
                </c:pt>
                <c:pt idx="28">
                  <c:v>380.27922058105469</c:v>
                </c:pt>
                <c:pt idx="29">
                  <c:v>153.06778462727866</c:v>
                </c:pt>
                <c:pt idx="30">
                  <c:v>286.11155192057294</c:v>
                </c:pt>
                <c:pt idx="31">
                  <c:v>555.89361317952478</c:v>
                </c:pt>
                <c:pt idx="32">
                  <c:v>723.3188807169596</c:v>
                </c:pt>
                <c:pt idx="33">
                  <c:v>707.80404663085938</c:v>
                </c:pt>
                <c:pt idx="34">
                  <c:v>653.06655375162757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E73-4EA9-BD2C-1971884A5F90}"/>
            </c:ext>
          </c:extLst>
        </c:ser>
        <c:ser>
          <c:idx val="7"/>
          <c:order val="7"/>
          <c:tx>
            <c:strRef>
              <c:f>sample6!$AB$1</c:f>
              <c:strCache>
                <c:ptCount val="1"/>
                <c:pt idx="0">
                  <c:v>fall(D)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sample6!$T$2:$T$36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sample6!$AB$2:$AB$36</c:f>
              <c:numCache>
                <c:formatCode>#,##0.000</c:formatCode>
                <c:ptCount val="35"/>
                <c:pt idx="0">
                  <c:v>-687.84360758463538</c:v>
                </c:pt>
                <c:pt idx="1">
                  <c:v>-694.17366027832031</c:v>
                </c:pt>
                <c:pt idx="2">
                  <c:v>-402.23556518554688</c:v>
                </c:pt>
                <c:pt idx="3">
                  <c:v>-355.81045532226563</c:v>
                </c:pt>
                <c:pt idx="4">
                  <c:v>-79.598901112874344</c:v>
                </c:pt>
                <c:pt idx="5">
                  <c:v>59.409548441569008</c:v>
                </c:pt>
                <c:pt idx="6">
                  <c:v>185.90494791666666</c:v>
                </c:pt>
                <c:pt idx="7">
                  <c:v>269.05402247111004</c:v>
                </c:pt>
                <c:pt idx="8">
                  <c:v>66.393183390299484</c:v>
                </c:pt>
                <c:pt idx="9">
                  <c:v>70.708896636962891</c:v>
                </c:pt>
                <c:pt idx="10">
                  <c:v>345.64442094167072</c:v>
                </c:pt>
                <c:pt idx="11">
                  <c:v>392.92630004882813</c:v>
                </c:pt>
                <c:pt idx="12">
                  <c:v>433.79932657877606</c:v>
                </c:pt>
                <c:pt idx="13">
                  <c:v>104.55514780680339</c:v>
                </c:pt>
                <c:pt idx="14">
                  <c:v>12.837023417154947</c:v>
                </c:pt>
                <c:pt idx="15">
                  <c:v>-192.94881184895834</c:v>
                </c:pt>
                <c:pt idx="16">
                  <c:v>-340.7164357503255</c:v>
                </c:pt>
                <c:pt idx="17">
                  <c:v>-414.06215413411456</c:v>
                </c:pt>
                <c:pt idx="18">
                  <c:v>-314.238605817159</c:v>
                </c:pt>
                <c:pt idx="19">
                  <c:v>-76.878615061442062</c:v>
                </c:pt>
                <c:pt idx="20">
                  <c:v>-159.26600646972656</c:v>
                </c:pt>
                <c:pt idx="21">
                  <c:v>-79.872151692708329</c:v>
                </c:pt>
                <c:pt idx="22">
                  <c:v>130.99565633138022</c:v>
                </c:pt>
                <c:pt idx="23">
                  <c:v>-49.51934814453125</c:v>
                </c:pt>
                <c:pt idx="24">
                  <c:v>-187.64372253417969</c:v>
                </c:pt>
                <c:pt idx="25">
                  <c:v>68.632939656575516</c:v>
                </c:pt>
                <c:pt idx="26">
                  <c:v>699.76375325520837</c:v>
                </c:pt>
                <c:pt idx="27">
                  <c:v>1631.7226969401042</c:v>
                </c:pt>
                <c:pt idx="28">
                  <c:v>3364.4680989583335</c:v>
                </c:pt>
                <c:pt idx="29">
                  <c:v>6983.716145833333</c:v>
                </c:pt>
                <c:pt idx="30">
                  <c:v>13293.815755208334</c:v>
                </c:pt>
                <c:pt idx="31">
                  <c:v>25147.365885416668</c:v>
                </c:pt>
                <c:pt idx="32">
                  <c:v>46154.28125</c:v>
                </c:pt>
                <c:pt idx="33">
                  <c:v>83636.143229166672</c:v>
                </c:pt>
                <c:pt idx="34">
                  <c:v>130751.8125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E73-4EA9-BD2C-1971884A5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36063"/>
        <c:axId val="113431487"/>
      </c:scatterChart>
      <c:valAx>
        <c:axId val="11343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31487"/>
        <c:crosses val="autoZero"/>
        <c:crossBetween val="midCat"/>
      </c:valAx>
      <c:valAx>
        <c:axId val="11343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3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030533683289589"/>
          <c:y val="0.81365631379410908"/>
          <c:w val="0.7249448818897638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Acropora nana (WLT)7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sample7!$S$1</c:f>
              <c:strCache>
                <c:ptCount val="1"/>
                <c:pt idx="0">
                  <c:v>summer(C)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sample7!$R$2:$R$36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sample7!$S$2:$S$36</c:f>
              <c:numCache>
                <c:formatCode>#,##0.000</c:formatCode>
                <c:ptCount val="35"/>
                <c:pt idx="0">
                  <c:v>-750.24955749511719</c:v>
                </c:pt>
                <c:pt idx="1">
                  <c:v>-431.21526082356769</c:v>
                </c:pt>
                <c:pt idx="2">
                  <c:v>-78.833335876464844</c:v>
                </c:pt>
                <c:pt idx="3">
                  <c:v>137.20485178629556</c:v>
                </c:pt>
                <c:pt idx="4">
                  <c:v>-49.810345967610679</c:v>
                </c:pt>
                <c:pt idx="5">
                  <c:v>-8.5169525146484375</c:v>
                </c:pt>
                <c:pt idx="6">
                  <c:v>-10.886316935221354</c:v>
                </c:pt>
                <c:pt idx="7">
                  <c:v>-28.579909642537434</c:v>
                </c:pt>
                <c:pt idx="8">
                  <c:v>5.9153086344401045</c:v>
                </c:pt>
                <c:pt idx="9">
                  <c:v>108.72953669230144</c:v>
                </c:pt>
                <c:pt idx="10">
                  <c:v>459.66486612955731</c:v>
                </c:pt>
                <c:pt idx="11">
                  <c:v>1306.7173258463542</c:v>
                </c:pt>
                <c:pt idx="12">
                  <c:v>2978.2047526041665</c:v>
                </c:pt>
                <c:pt idx="13">
                  <c:v>5710.539876302083</c:v>
                </c:pt>
                <c:pt idx="14">
                  <c:v>11702.976236979166</c:v>
                </c:pt>
                <c:pt idx="15">
                  <c:v>22766.356119791668</c:v>
                </c:pt>
                <c:pt idx="16">
                  <c:v>43194.904947916664</c:v>
                </c:pt>
                <c:pt idx="17">
                  <c:v>78324.361979166672</c:v>
                </c:pt>
                <c:pt idx="18">
                  <c:v>129707.45572916667</c:v>
                </c:pt>
                <c:pt idx="19">
                  <c:v>192964.33854166666</c:v>
                </c:pt>
                <c:pt idx="20">
                  <c:v>255552.02604166666</c:v>
                </c:pt>
                <c:pt idx="21">
                  <c:v>309696.44791666669</c:v>
                </c:pt>
                <c:pt idx="22">
                  <c:v>353889</c:v>
                </c:pt>
                <c:pt idx="23">
                  <c:v>388925.15625</c:v>
                </c:pt>
                <c:pt idx="24">
                  <c:v>416263.08333333331</c:v>
                </c:pt>
                <c:pt idx="25">
                  <c:v>437664.78125</c:v>
                </c:pt>
                <c:pt idx="26">
                  <c:v>453504.89583333331</c:v>
                </c:pt>
                <c:pt idx="27">
                  <c:v>466062.875</c:v>
                </c:pt>
                <c:pt idx="28">
                  <c:v>476038.58333333331</c:v>
                </c:pt>
                <c:pt idx="29">
                  <c:v>483447.64583333331</c:v>
                </c:pt>
                <c:pt idx="30">
                  <c:v>488674</c:v>
                </c:pt>
                <c:pt idx="31">
                  <c:v>492840.04166666669</c:v>
                </c:pt>
                <c:pt idx="32">
                  <c:v>495606.02083333331</c:v>
                </c:pt>
                <c:pt idx="33">
                  <c:v>496608.67708333331</c:v>
                </c:pt>
                <c:pt idx="34">
                  <c:v>496687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6F-4619-A20F-C412CE31CE77}"/>
            </c:ext>
          </c:extLst>
        </c:ser>
        <c:ser>
          <c:idx val="1"/>
          <c:order val="1"/>
          <c:tx>
            <c:strRef>
              <c:f>sample7!$T$1</c:f>
              <c:strCache>
                <c:ptCount val="1"/>
                <c:pt idx="0">
                  <c:v>winter(C)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sample7!$R$2:$R$36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sample7!$T$2:$T$36</c:f>
              <c:numCache>
                <c:formatCode>#,##0.000</c:formatCode>
                <c:ptCount val="35"/>
                <c:pt idx="0">
                  <c:v>-3491.9122314453125</c:v>
                </c:pt>
                <c:pt idx="1">
                  <c:v>-2338.0803324381509</c:v>
                </c:pt>
                <c:pt idx="2">
                  <c:v>-1215.8420359293621</c:v>
                </c:pt>
                <c:pt idx="3">
                  <c:v>-80.812159856160477</c:v>
                </c:pt>
                <c:pt idx="4">
                  <c:v>597.2216466267904</c:v>
                </c:pt>
                <c:pt idx="5">
                  <c:v>1047.9312133789063</c:v>
                </c:pt>
                <c:pt idx="6">
                  <c:v>741.9415397644043</c:v>
                </c:pt>
                <c:pt idx="7">
                  <c:v>194.29697863260904</c:v>
                </c:pt>
                <c:pt idx="8">
                  <c:v>-895.28902753194177</c:v>
                </c:pt>
                <c:pt idx="9">
                  <c:v>-928.84899266560876</c:v>
                </c:pt>
                <c:pt idx="10">
                  <c:v>474.65615336100262</c:v>
                </c:pt>
                <c:pt idx="11">
                  <c:v>2239.6457316080728</c:v>
                </c:pt>
                <c:pt idx="12">
                  <c:v>3627.06103515625</c:v>
                </c:pt>
                <c:pt idx="13">
                  <c:v>6305.355143229167</c:v>
                </c:pt>
                <c:pt idx="14">
                  <c:v>11461.148111979166</c:v>
                </c:pt>
                <c:pt idx="15">
                  <c:v>22153.442057291668</c:v>
                </c:pt>
                <c:pt idx="16">
                  <c:v>42045.841145833336</c:v>
                </c:pt>
                <c:pt idx="17">
                  <c:v>74261.221354166672</c:v>
                </c:pt>
                <c:pt idx="18">
                  <c:v>120242.765625</c:v>
                </c:pt>
                <c:pt idx="19">
                  <c:v>174755.078125</c:v>
                </c:pt>
                <c:pt idx="20">
                  <c:v>229980.77604166666</c:v>
                </c:pt>
                <c:pt idx="21">
                  <c:v>281169.375</c:v>
                </c:pt>
                <c:pt idx="22">
                  <c:v>326494.19791666669</c:v>
                </c:pt>
                <c:pt idx="23">
                  <c:v>365436.4375</c:v>
                </c:pt>
                <c:pt idx="24">
                  <c:v>398209.88541666669</c:v>
                </c:pt>
                <c:pt idx="25">
                  <c:v>425501.89583333331</c:v>
                </c:pt>
                <c:pt idx="26">
                  <c:v>448051.53125</c:v>
                </c:pt>
                <c:pt idx="27">
                  <c:v>466956.32291666669</c:v>
                </c:pt>
                <c:pt idx="28">
                  <c:v>482990.13541666669</c:v>
                </c:pt>
                <c:pt idx="29">
                  <c:v>496373.69791666669</c:v>
                </c:pt>
                <c:pt idx="30">
                  <c:v>507112.15625</c:v>
                </c:pt>
                <c:pt idx="31">
                  <c:v>516659.30208333331</c:v>
                </c:pt>
                <c:pt idx="32">
                  <c:v>524706.20833333337</c:v>
                </c:pt>
                <c:pt idx="33">
                  <c:v>531181.96875</c:v>
                </c:pt>
                <c:pt idx="34">
                  <c:v>534760.20833333337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6F-4619-A20F-C412CE31CE77}"/>
            </c:ext>
          </c:extLst>
        </c:ser>
        <c:ser>
          <c:idx val="2"/>
          <c:order val="2"/>
          <c:tx>
            <c:strRef>
              <c:f>sample7!$U$1</c:f>
              <c:strCache>
                <c:ptCount val="1"/>
                <c:pt idx="0">
                  <c:v>spring(C)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sample7!$R$2:$R$36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sample7!$U$2:$U$36</c:f>
              <c:numCache>
                <c:formatCode>#,##0.000</c:formatCode>
                <c:ptCount val="35"/>
                <c:pt idx="0">
                  <c:v>-503.32278442382813</c:v>
                </c:pt>
                <c:pt idx="1">
                  <c:v>-490.50328318277997</c:v>
                </c:pt>
                <c:pt idx="2">
                  <c:v>-206.40966796875</c:v>
                </c:pt>
                <c:pt idx="3">
                  <c:v>219.55371602376303</c:v>
                </c:pt>
                <c:pt idx="4">
                  <c:v>336.18637084960938</c:v>
                </c:pt>
                <c:pt idx="5">
                  <c:v>80.119176228841141</c:v>
                </c:pt>
                <c:pt idx="6">
                  <c:v>-24.292434692382813</c:v>
                </c:pt>
                <c:pt idx="7">
                  <c:v>-48.728136698404946</c:v>
                </c:pt>
                <c:pt idx="8">
                  <c:v>-197.08376026153564</c:v>
                </c:pt>
                <c:pt idx="9">
                  <c:v>-120.25056711832683</c:v>
                </c:pt>
                <c:pt idx="10">
                  <c:v>37.749918619791664</c:v>
                </c:pt>
                <c:pt idx="11">
                  <c:v>28.212666829427082</c:v>
                </c:pt>
                <c:pt idx="12">
                  <c:v>104.86356099446614</c:v>
                </c:pt>
                <c:pt idx="13">
                  <c:v>76.778775930404663</c:v>
                </c:pt>
                <c:pt idx="14">
                  <c:v>-1.4238529205322266</c:v>
                </c:pt>
                <c:pt idx="15">
                  <c:v>-185.15967305501303</c:v>
                </c:pt>
                <c:pt idx="16">
                  <c:v>-234.0849609375</c:v>
                </c:pt>
                <c:pt idx="17">
                  <c:v>-199.42430114746094</c:v>
                </c:pt>
                <c:pt idx="18">
                  <c:v>3.3678690592447915</c:v>
                </c:pt>
                <c:pt idx="19">
                  <c:v>80.314333597819015</c:v>
                </c:pt>
                <c:pt idx="20">
                  <c:v>246.06873575846353</c:v>
                </c:pt>
                <c:pt idx="21">
                  <c:v>179.76780700683594</c:v>
                </c:pt>
                <c:pt idx="22">
                  <c:v>-66.335208892822266</c:v>
                </c:pt>
                <c:pt idx="23">
                  <c:v>-186.83665466308594</c:v>
                </c:pt>
                <c:pt idx="24">
                  <c:v>-229.95855522155762</c:v>
                </c:pt>
                <c:pt idx="25">
                  <c:v>-90.338270664215088</c:v>
                </c:pt>
                <c:pt idx="26">
                  <c:v>-153.40937360127768</c:v>
                </c:pt>
                <c:pt idx="27">
                  <c:v>-321.69793701171875</c:v>
                </c:pt>
                <c:pt idx="28">
                  <c:v>-125.0197245279948</c:v>
                </c:pt>
                <c:pt idx="29">
                  <c:v>216.3349609375</c:v>
                </c:pt>
                <c:pt idx="30">
                  <c:v>309.44677734375</c:v>
                </c:pt>
                <c:pt idx="31">
                  <c:v>137.85810343424478</c:v>
                </c:pt>
                <c:pt idx="32">
                  <c:v>37.434107462565102</c:v>
                </c:pt>
                <c:pt idx="33">
                  <c:v>86.164441426595047</c:v>
                </c:pt>
                <c:pt idx="34">
                  <c:v>241.19878133138022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6F-4619-A20F-C412CE31CE77}"/>
            </c:ext>
          </c:extLst>
        </c:ser>
        <c:ser>
          <c:idx val="3"/>
          <c:order val="3"/>
          <c:tx>
            <c:strRef>
              <c:f>sample7!$V$1</c:f>
              <c:strCache>
                <c:ptCount val="1"/>
                <c:pt idx="0">
                  <c:v>fall(C)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sample7!$R$2:$R$36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sample7!$V$2:$V$36</c:f>
              <c:numCache>
                <c:formatCode>#,##0.000</c:formatCode>
                <c:ptCount val="35"/>
                <c:pt idx="0">
                  <c:v>-2131.188924153646</c:v>
                </c:pt>
                <c:pt idx="1">
                  <c:v>-1425.4746704101563</c:v>
                </c:pt>
                <c:pt idx="2">
                  <c:v>-362.1796875</c:v>
                </c:pt>
                <c:pt idx="3">
                  <c:v>19.522843678792317</c:v>
                </c:pt>
                <c:pt idx="4">
                  <c:v>155.26183446248373</c:v>
                </c:pt>
                <c:pt idx="5">
                  <c:v>243.18831888834634</c:v>
                </c:pt>
                <c:pt idx="6">
                  <c:v>439.56533813476563</c:v>
                </c:pt>
                <c:pt idx="7">
                  <c:v>-154.27901840209961</c:v>
                </c:pt>
                <c:pt idx="8">
                  <c:v>-572.28480529785156</c:v>
                </c:pt>
                <c:pt idx="9">
                  <c:v>377.323969523112</c:v>
                </c:pt>
                <c:pt idx="10">
                  <c:v>4144.6020787556963</c:v>
                </c:pt>
                <c:pt idx="11">
                  <c:v>5902.3148193359375</c:v>
                </c:pt>
                <c:pt idx="12">
                  <c:v>7716.298746744792</c:v>
                </c:pt>
                <c:pt idx="13">
                  <c:v>10593.811360677084</c:v>
                </c:pt>
                <c:pt idx="14">
                  <c:v>17318.256184895832</c:v>
                </c:pt>
                <c:pt idx="15">
                  <c:v>29364.660807291668</c:v>
                </c:pt>
                <c:pt idx="16">
                  <c:v>50084.671875</c:v>
                </c:pt>
                <c:pt idx="17">
                  <c:v>80061.100260416672</c:v>
                </c:pt>
                <c:pt idx="18">
                  <c:v>116984.9453125</c:v>
                </c:pt>
                <c:pt idx="19">
                  <c:v>155757.21614583334</c:v>
                </c:pt>
                <c:pt idx="20">
                  <c:v>192638.09375</c:v>
                </c:pt>
                <c:pt idx="21">
                  <c:v>226136.04166666666</c:v>
                </c:pt>
                <c:pt idx="22">
                  <c:v>254723.34895833334</c:v>
                </c:pt>
                <c:pt idx="23">
                  <c:v>279574.93229166669</c:v>
                </c:pt>
                <c:pt idx="24">
                  <c:v>301581.046875</c:v>
                </c:pt>
                <c:pt idx="25">
                  <c:v>320553.38541666669</c:v>
                </c:pt>
                <c:pt idx="26">
                  <c:v>335043.46875</c:v>
                </c:pt>
                <c:pt idx="27">
                  <c:v>347098.25</c:v>
                </c:pt>
                <c:pt idx="28">
                  <c:v>357050.23958333331</c:v>
                </c:pt>
                <c:pt idx="29">
                  <c:v>364997.14583333331</c:v>
                </c:pt>
                <c:pt idx="30">
                  <c:v>371439.80208333331</c:v>
                </c:pt>
                <c:pt idx="31">
                  <c:v>377330.42708333331</c:v>
                </c:pt>
                <c:pt idx="32">
                  <c:v>381819.17708333331</c:v>
                </c:pt>
                <c:pt idx="33">
                  <c:v>385621.34375</c:v>
                </c:pt>
                <c:pt idx="34">
                  <c:v>387382.40625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46F-4619-A20F-C412CE31CE77}"/>
            </c:ext>
          </c:extLst>
        </c:ser>
        <c:ser>
          <c:idx val="4"/>
          <c:order val="4"/>
          <c:tx>
            <c:strRef>
              <c:f>sample7!$W$1</c:f>
              <c:strCache>
                <c:ptCount val="1"/>
                <c:pt idx="0">
                  <c:v>summer(D)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sample7!$R$2:$R$36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sample7!$W$2:$W$36</c:f>
              <c:numCache>
                <c:formatCode>#,##0.000</c:formatCode>
                <c:ptCount val="35"/>
                <c:pt idx="0">
                  <c:v>629.3775634765625</c:v>
                </c:pt>
                <c:pt idx="1">
                  <c:v>711.26031494140625</c:v>
                </c:pt>
                <c:pt idx="2">
                  <c:v>55.132659912109375</c:v>
                </c:pt>
                <c:pt idx="3">
                  <c:v>-157.07570902506509</c:v>
                </c:pt>
                <c:pt idx="4">
                  <c:v>53.654703776041664</c:v>
                </c:pt>
                <c:pt idx="5">
                  <c:v>188.52314631144205</c:v>
                </c:pt>
                <c:pt idx="6">
                  <c:v>46.839492797851563</c:v>
                </c:pt>
                <c:pt idx="7">
                  <c:v>-40.596745808919273</c:v>
                </c:pt>
                <c:pt idx="8">
                  <c:v>166.79121653238931</c:v>
                </c:pt>
                <c:pt idx="9">
                  <c:v>223.35236612955728</c:v>
                </c:pt>
                <c:pt idx="10">
                  <c:v>232.16612243652344</c:v>
                </c:pt>
                <c:pt idx="11">
                  <c:v>118.04627990722656</c:v>
                </c:pt>
                <c:pt idx="12">
                  <c:v>27.072271664937336</c:v>
                </c:pt>
                <c:pt idx="13">
                  <c:v>-178.97335815429688</c:v>
                </c:pt>
                <c:pt idx="14">
                  <c:v>-527.28200658162439</c:v>
                </c:pt>
                <c:pt idx="15">
                  <c:v>-581.15054321289063</c:v>
                </c:pt>
                <c:pt idx="16">
                  <c:v>-344.93833414713544</c:v>
                </c:pt>
                <c:pt idx="17">
                  <c:v>-305.064692179362</c:v>
                </c:pt>
                <c:pt idx="18">
                  <c:v>-107.79390525817871</c:v>
                </c:pt>
                <c:pt idx="19">
                  <c:v>203.14875411987305</c:v>
                </c:pt>
                <c:pt idx="20">
                  <c:v>393.69167073567706</c:v>
                </c:pt>
                <c:pt idx="21">
                  <c:v>361.15256245930988</c:v>
                </c:pt>
                <c:pt idx="22">
                  <c:v>401.32307942708331</c:v>
                </c:pt>
                <c:pt idx="23">
                  <c:v>614.05091730753577</c:v>
                </c:pt>
                <c:pt idx="24">
                  <c:v>655.22013854980469</c:v>
                </c:pt>
                <c:pt idx="25">
                  <c:v>675.51305524508155</c:v>
                </c:pt>
                <c:pt idx="26">
                  <c:v>816.96738688151038</c:v>
                </c:pt>
                <c:pt idx="27">
                  <c:v>1322.3410695393879</c:v>
                </c:pt>
                <c:pt idx="28">
                  <c:v>1840.8787434895833</c:v>
                </c:pt>
                <c:pt idx="29">
                  <c:v>2401.546630859375</c:v>
                </c:pt>
                <c:pt idx="30">
                  <c:v>4228.101318359375</c:v>
                </c:pt>
                <c:pt idx="31">
                  <c:v>7410.279622395833</c:v>
                </c:pt>
                <c:pt idx="32">
                  <c:v>12894.984049479166</c:v>
                </c:pt>
                <c:pt idx="33">
                  <c:v>23501.278645833332</c:v>
                </c:pt>
                <c:pt idx="34">
                  <c:v>36885.764973958336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46F-4619-A20F-C412CE31CE77}"/>
            </c:ext>
          </c:extLst>
        </c:ser>
        <c:ser>
          <c:idx val="5"/>
          <c:order val="5"/>
          <c:tx>
            <c:strRef>
              <c:f>sample7!$X$1</c:f>
              <c:strCache>
                <c:ptCount val="1"/>
                <c:pt idx="0">
                  <c:v>winter(D)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sample7!$R$2:$R$36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sample7!$X$2:$X$36</c:f>
              <c:numCache>
                <c:formatCode>#,##0.000</c:formatCode>
                <c:ptCount val="35"/>
                <c:pt idx="0">
                  <c:v>4680.9385986328125</c:v>
                </c:pt>
                <c:pt idx="1">
                  <c:v>2950.4576822916665</c:v>
                </c:pt>
                <c:pt idx="2">
                  <c:v>2207.1071166992188</c:v>
                </c:pt>
                <c:pt idx="3">
                  <c:v>2796.1498006184897</c:v>
                </c:pt>
                <c:pt idx="4">
                  <c:v>1305.7809346516926</c:v>
                </c:pt>
                <c:pt idx="5">
                  <c:v>110.39126078287761</c:v>
                </c:pt>
                <c:pt idx="6">
                  <c:v>-386.58693440755206</c:v>
                </c:pt>
                <c:pt idx="7">
                  <c:v>-400.61979166666669</c:v>
                </c:pt>
                <c:pt idx="8">
                  <c:v>-405.6214599609375</c:v>
                </c:pt>
                <c:pt idx="9">
                  <c:v>-495.95640246073407</c:v>
                </c:pt>
                <c:pt idx="10">
                  <c:v>-609.10128784179688</c:v>
                </c:pt>
                <c:pt idx="11">
                  <c:v>-719.07685343424475</c:v>
                </c:pt>
                <c:pt idx="12">
                  <c:v>-960.08370971679688</c:v>
                </c:pt>
                <c:pt idx="13">
                  <c:v>-752.10614013671875</c:v>
                </c:pt>
                <c:pt idx="14">
                  <c:v>-470.88385009765625</c:v>
                </c:pt>
                <c:pt idx="15">
                  <c:v>-612.27870686848962</c:v>
                </c:pt>
                <c:pt idx="16">
                  <c:v>-826.626698811849</c:v>
                </c:pt>
                <c:pt idx="17">
                  <c:v>-871.68820826212561</c:v>
                </c:pt>
                <c:pt idx="18">
                  <c:v>-834.04926045735681</c:v>
                </c:pt>
                <c:pt idx="19">
                  <c:v>-895.740976969401</c:v>
                </c:pt>
                <c:pt idx="20">
                  <c:v>-718.8468017578125</c:v>
                </c:pt>
                <c:pt idx="21">
                  <c:v>-418.78586832682294</c:v>
                </c:pt>
                <c:pt idx="22">
                  <c:v>-506.67033894856769</c:v>
                </c:pt>
                <c:pt idx="23">
                  <c:v>-426.85688781738281</c:v>
                </c:pt>
                <c:pt idx="24">
                  <c:v>-170.83246358235678</c:v>
                </c:pt>
                <c:pt idx="25">
                  <c:v>74.499237060546875</c:v>
                </c:pt>
                <c:pt idx="26">
                  <c:v>103.13299051920573</c:v>
                </c:pt>
                <c:pt idx="27">
                  <c:v>280.02719624837238</c:v>
                </c:pt>
                <c:pt idx="28">
                  <c:v>697.77294921875</c:v>
                </c:pt>
                <c:pt idx="29">
                  <c:v>747.39894866943359</c:v>
                </c:pt>
                <c:pt idx="30">
                  <c:v>543.30614725748694</c:v>
                </c:pt>
                <c:pt idx="31">
                  <c:v>735.86438496907556</c:v>
                </c:pt>
                <c:pt idx="32">
                  <c:v>857.20394897460938</c:v>
                </c:pt>
                <c:pt idx="33">
                  <c:v>1023.7778263092041</c:v>
                </c:pt>
                <c:pt idx="34">
                  <c:v>1514.6407267252605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46F-4619-A20F-C412CE31CE77}"/>
            </c:ext>
          </c:extLst>
        </c:ser>
        <c:ser>
          <c:idx val="6"/>
          <c:order val="6"/>
          <c:tx>
            <c:strRef>
              <c:f>sample7!$Y$1</c:f>
              <c:strCache>
                <c:ptCount val="1"/>
                <c:pt idx="0">
                  <c:v>spring(D)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sample7!$R$2:$R$36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sample7!$Y$2:$Y$36</c:f>
              <c:numCache>
                <c:formatCode>#,##0.000</c:formatCode>
                <c:ptCount val="35"/>
                <c:pt idx="0">
                  <c:v>861.04642931620276</c:v>
                </c:pt>
                <c:pt idx="1">
                  <c:v>630.11146545410156</c:v>
                </c:pt>
                <c:pt idx="2">
                  <c:v>44.478566487630211</c:v>
                </c:pt>
                <c:pt idx="3">
                  <c:v>-67.745466868082687</c:v>
                </c:pt>
                <c:pt idx="4">
                  <c:v>139.41332022349039</c:v>
                </c:pt>
                <c:pt idx="5">
                  <c:v>46.682777404785156</c:v>
                </c:pt>
                <c:pt idx="6">
                  <c:v>-142.17536163330078</c:v>
                </c:pt>
                <c:pt idx="7">
                  <c:v>-99.106424967447921</c:v>
                </c:pt>
                <c:pt idx="8">
                  <c:v>129.62526448567709</c:v>
                </c:pt>
                <c:pt idx="9">
                  <c:v>430.07441711425781</c:v>
                </c:pt>
                <c:pt idx="10">
                  <c:v>445.61472702026367</c:v>
                </c:pt>
                <c:pt idx="11">
                  <c:v>435.38155682881671</c:v>
                </c:pt>
                <c:pt idx="12">
                  <c:v>804.83463033040368</c:v>
                </c:pt>
                <c:pt idx="13">
                  <c:v>935.22780354817712</c:v>
                </c:pt>
                <c:pt idx="14">
                  <c:v>879.08191426595056</c:v>
                </c:pt>
                <c:pt idx="15">
                  <c:v>855.54792277018225</c:v>
                </c:pt>
                <c:pt idx="16">
                  <c:v>974.99839274088538</c:v>
                </c:pt>
                <c:pt idx="17">
                  <c:v>1074.7001647949219</c:v>
                </c:pt>
                <c:pt idx="18">
                  <c:v>1008.6753679911295</c:v>
                </c:pt>
                <c:pt idx="19">
                  <c:v>1104.0099538167317</c:v>
                </c:pt>
                <c:pt idx="20">
                  <c:v>1284.3379516601563</c:v>
                </c:pt>
                <c:pt idx="21">
                  <c:v>1557.2624448140461</c:v>
                </c:pt>
                <c:pt idx="22">
                  <c:v>1755.8612620035808</c:v>
                </c:pt>
                <c:pt idx="23">
                  <c:v>2068.7192077636719</c:v>
                </c:pt>
                <c:pt idx="24">
                  <c:v>2345.3455403645835</c:v>
                </c:pt>
                <c:pt idx="25">
                  <c:v>2526.5719604492188</c:v>
                </c:pt>
                <c:pt idx="26">
                  <c:v>2612.6683349609375</c:v>
                </c:pt>
                <c:pt idx="27">
                  <c:v>2243.4559682210288</c:v>
                </c:pt>
                <c:pt idx="28">
                  <c:v>2358.2826601664224</c:v>
                </c:pt>
                <c:pt idx="29">
                  <c:v>2647.4167989095054</c:v>
                </c:pt>
                <c:pt idx="30">
                  <c:v>2701.0624796549478</c:v>
                </c:pt>
                <c:pt idx="31">
                  <c:v>3009.1276245117188</c:v>
                </c:pt>
                <c:pt idx="32">
                  <c:v>3271.635294596354</c:v>
                </c:pt>
                <c:pt idx="33">
                  <c:v>3418.0088704427085</c:v>
                </c:pt>
                <c:pt idx="34">
                  <c:v>3721.9683634440103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46F-4619-A20F-C412CE31CE77}"/>
            </c:ext>
          </c:extLst>
        </c:ser>
        <c:ser>
          <c:idx val="7"/>
          <c:order val="7"/>
          <c:tx>
            <c:strRef>
              <c:f>sample7!$Z$1</c:f>
              <c:strCache>
                <c:ptCount val="1"/>
                <c:pt idx="0">
                  <c:v>fall(D)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sample7!$R$2:$R$36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sample7!$Z$2:$Z$36</c:f>
              <c:numCache>
                <c:formatCode>#,##0.000</c:formatCode>
                <c:ptCount val="35"/>
                <c:pt idx="0">
                  <c:v>-913.75214131673181</c:v>
                </c:pt>
                <c:pt idx="1">
                  <c:v>-639.19482421875</c:v>
                </c:pt>
                <c:pt idx="2">
                  <c:v>-525.21303304036462</c:v>
                </c:pt>
                <c:pt idx="3">
                  <c:v>-345.88230387369794</c:v>
                </c:pt>
                <c:pt idx="4">
                  <c:v>177.05260213216147</c:v>
                </c:pt>
                <c:pt idx="5">
                  <c:v>217.2869873046875</c:v>
                </c:pt>
                <c:pt idx="6">
                  <c:v>-239.52030944824219</c:v>
                </c:pt>
                <c:pt idx="7">
                  <c:v>-452.03849792480469</c:v>
                </c:pt>
                <c:pt idx="8">
                  <c:v>-260.66089693705243</c:v>
                </c:pt>
                <c:pt idx="9">
                  <c:v>374.925053914388</c:v>
                </c:pt>
                <c:pt idx="10">
                  <c:v>394.52140442530316</c:v>
                </c:pt>
                <c:pt idx="11">
                  <c:v>527.95110066731775</c:v>
                </c:pt>
                <c:pt idx="12">
                  <c:v>867.7349853515625</c:v>
                </c:pt>
                <c:pt idx="13">
                  <c:v>643.42248026529944</c:v>
                </c:pt>
                <c:pt idx="14">
                  <c:v>-73.765004475911454</c:v>
                </c:pt>
                <c:pt idx="15">
                  <c:v>-247.26500701904297</c:v>
                </c:pt>
                <c:pt idx="16">
                  <c:v>-40.681653340657554</c:v>
                </c:pt>
                <c:pt idx="17">
                  <c:v>-79.525402069091797</c:v>
                </c:pt>
                <c:pt idx="18">
                  <c:v>-130.49674224853516</c:v>
                </c:pt>
                <c:pt idx="19">
                  <c:v>-244.51236979166666</c:v>
                </c:pt>
                <c:pt idx="20">
                  <c:v>-254.93944295247397</c:v>
                </c:pt>
                <c:pt idx="21">
                  <c:v>114.09440104166667</c:v>
                </c:pt>
                <c:pt idx="22">
                  <c:v>720.90431245168054</c:v>
                </c:pt>
                <c:pt idx="23">
                  <c:v>1257.2506612141926</c:v>
                </c:pt>
                <c:pt idx="24">
                  <c:v>2075.4459635416665</c:v>
                </c:pt>
                <c:pt idx="25">
                  <c:v>3574.1439208984375</c:v>
                </c:pt>
                <c:pt idx="26">
                  <c:v>6179.240315755208</c:v>
                </c:pt>
                <c:pt idx="27">
                  <c:v>10862.78173828125</c:v>
                </c:pt>
                <c:pt idx="28">
                  <c:v>20109.9873046875</c:v>
                </c:pt>
                <c:pt idx="29">
                  <c:v>37002.717447916664</c:v>
                </c:pt>
                <c:pt idx="30">
                  <c:v>66186.817708333328</c:v>
                </c:pt>
                <c:pt idx="31">
                  <c:v>114609.15625</c:v>
                </c:pt>
                <c:pt idx="32">
                  <c:v>181665.16666666666</c:v>
                </c:pt>
                <c:pt idx="33">
                  <c:v>257518.40104166666</c:v>
                </c:pt>
                <c:pt idx="34">
                  <c:v>321001.54166666669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46F-4619-A20F-C412CE31C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313823"/>
        <c:axId val="301305919"/>
      </c:scatterChart>
      <c:valAx>
        <c:axId val="30131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305919"/>
        <c:crosses val="autoZero"/>
        <c:crossBetween val="midCat"/>
      </c:valAx>
      <c:valAx>
        <c:axId val="30130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313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Acropora nana (WLT)8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sample8!$S$1</c:f>
              <c:strCache>
                <c:ptCount val="1"/>
                <c:pt idx="0">
                  <c:v>summer(C)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sample8!$R$2:$R$36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sample8!$S$2:$S$36</c:f>
              <c:numCache>
                <c:formatCode>#,##0.000</c:formatCode>
                <c:ptCount val="35"/>
                <c:pt idx="0">
                  <c:v>604.66097005208337</c:v>
                </c:pt>
                <c:pt idx="1">
                  <c:v>-309.95625813802081</c:v>
                </c:pt>
                <c:pt idx="2">
                  <c:v>-455.37951914469403</c:v>
                </c:pt>
                <c:pt idx="3">
                  <c:v>367.9146728515625</c:v>
                </c:pt>
                <c:pt idx="4">
                  <c:v>250.71017456054688</c:v>
                </c:pt>
                <c:pt idx="5">
                  <c:v>-167.98001607259116</c:v>
                </c:pt>
                <c:pt idx="6">
                  <c:v>-188.55301030476889</c:v>
                </c:pt>
                <c:pt idx="7">
                  <c:v>291.70993041992188</c:v>
                </c:pt>
                <c:pt idx="8">
                  <c:v>215.71507581075033</c:v>
                </c:pt>
                <c:pt idx="9">
                  <c:v>-149.07537841796875</c:v>
                </c:pt>
                <c:pt idx="10">
                  <c:v>-394.99862670898438</c:v>
                </c:pt>
                <c:pt idx="11">
                  <c:v>169.19530487060547</c:v>
                </c:pt>
                <c:pt idx="12">
                  <c:v>760.88664754231775</c:v>
                </c:pt>
                <c:pt idx="13">
                  <c:v>2710.04931640625</c:v>
                </c:pt>
                <c:pt idx="14">
                  <c:v>6513.554361979167</c:v>
                </c:pt>
                <c:pt idx="15">
                  <c:v>13962.566080729166</c:v>
                </c:pt>
                <c:pt idx="16">
                  <c:v>28648.44140625</c:v>
                </c:pt>
                <c:pt idx="17">
                  <c:v>54643.990885416664</c:v>
                </c:pt>
                <c:pt idx="18">
                  <c:v>96948.901041666672</c:v>
                </c:pt>
                <c:pt idx="19">
                  <c:v>154728.90104166666</c:v>
                </c:pt>
                <c:pt idx="20">
                  <c:v>218832.640625</c:v>
                </c:pt>
                <c:pt idx="21">
                  <c:v>278418.75</c:v>
                </c:pt>
                <c:pt idx="22">
                  <c:v>329138.44791666669</c:v>
                </c:pt>
                <c:pt idx="23">
                  <c:v>370871.16666666669</c:v>
                </c:pt>
                <c:pt idx="24">
                  <c:v>403969.84375</c:v>
                </c:pt>
                <c:pt idx="25">
                  <c:v>431004.10416666669</c:v>
                </c:pt>
                <c:pt idx="26">
                  <c:v>452049.95833333331</c:v>
                </c:pt>
                <c:pt idx="27">
                  <c:v>468599.05208333331</c:v>
                </c:pt>
                <c:pt idx="28">
                  <c:v>482154.07291666669</c:v>
                </c:pt>
                <c:pt idx="29">
                  <c:v>492648.27083333331</c:v>
                </c:pt>
                <c:pt idx="30">
                  <c:v>500382.05208333331</c:v>
                </c:pt>
                <c:pt idx="31">
                  <c:v>506521.57291666669</c:v>
                </c:pt>
                <c:pt idx="32">
                  <c:v>511035.41666666669</c:v>
                </c:pt>
                <c:pt idx="33">
                  <c:v>514286.01041666669</c:v>
                </c:pt>
                <c:pt idx="34">
                  <c:v>516176.03125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1C-491C-887B-F7D3A3D2366B}"/>
            </c:ext>
          </c:extLst>
        </c:ser>
        <c:ser>
          <c:idx val="1"/>
          <c:order val="1"/>
          <c:tx>
            <c:strRef>
              <c:f>sample8!$T$1</c:f>
              <c:strCache>
                <c:ptCount val="1"/>
                <c:pt idx="0">
                  <c:v>winter(C)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sample8!$R$2:$R$36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sample8!$T$2:$T$36</c:f>
              <c:numCache>
                <c:formatCode>#,##0.000</c:formatCode>
                <c:ptCount val="35"/>
                <c:pt idx="0">
                  <c:v>-1727.2466227213542</c:v>
                </c:pt>
                <c:pt idx="1">
                  <c:v>-1173.5852686564128</c:v>
                </c:pt>
                <c:pt idx="2">
                  <c:v>70.38461971282959</c:v>
                </c:pt>
                <c:pt idx="3">
                  <c:v>366.75948079427081</c:v>
                </c:pt>
                <c:pt idx="4">
                  <c:v>-405.62541707356769</c:v>
                </c:pt>
                <c:pt idx="5">
                  <c:v>-399.57996622721356</c:v>
                </c:pt>
                <c:pt idx="6">
                  <c:v>13.006510416666666</c:v>
                </c:pt>
                <c:pt idx="7">
                  <c:v>275.51222229003906</c:v>
                </c:pt>
                <c:pt idx="8">
                  <c:v>139.47173563639322</c:v>
                </c:pt>
                <c:pt idx="9">
                  <c:v>143.75285339355469</c:v>
                </c:pt>
                <c:pt idx="10">
                  <c:v>191.18699137369791</c:v>
                </c:pt>
                <c:pt idx="11">
                  <c:v>1107.8736572265625</c:v>
                </c:pt>
                <c:pt idx="12">
                  <c:v>1624.777852376302</c:v>
                </c:pt>
                <c:pt idx="13">
                  <c:v>3584.3260091145835</c:v>
                </c:pt>
                <c:pt idx="14">
                  <c:v>6381.127360026042</c:v>
                </c:pt>
                <c:pt idx="15">
                  <c:v>12511.42578125</c:v>
                </c:pt>
                <c:pt idx="16">
                  <c:v>24384.99951171875</c:v>
                </c:pt>
                <c:pt idx="17">
                  <c:v>44512.1435546875</c:v>
                </c:pt>
                <c:pt idx="18">
                  <c:v>77022.5048828125</c:v>
                </c:pt>
                <c:pt idx="19">
                  <c:v>120514.23372395833</c:v>
                </c:pt>
                <c:pt idx="20">
                  <c:v>167820.97526041666</c:v>
                </c:pt>
                <c:pt idx="21">
                  <c:v>212172.7890625</c:v>
                </c:pt>
                <c:pt idx="22">
                  <c:v>250757.19661458334</c:v>
                </c:pt>
                <c:pt idx="23">
                  <c:v>282583.98307291669</c:v>
                </c:pt>
                <c:pt idx="24">
                  <c:v>309538.78515625</c:v>
                </c:pt>
                <c:pt idx="25">
                  <c:v>331910.30729166669</c:v>
                </c:pt>
                <c:pt idx="26">
                  <c:v>349871.70052083331</c:v>
                </c:pt>
                <c:pt idx="27">
                  <c:v>365005.36458333331</c:v>
                </c:pt>
                <c:pt idx="28">
                  <c:v>377399.8046875</c:v>
                </c:pt>
                <c:pt idx="29">
                  <c:v>387968.50520833331</c:v>
                </c:pt>
                <c:pt idx="30">
                  <c:v>396453.22135416669</c:v>
                </c:pt>
                <c:pt idx="31">
                  <c:v>403335.3515625</c:v>
                </c:pt>
                <c:pt idx="32">
                  <c:v>409119.2109375</c:v>
                </c:pt>
                <c:pt idx="33">
                  <c:v>413825.1015625</c:v>
                </c:pt>
                <c:pt idx="34">
                  <c:v>415269.41145833331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1C-491C-887B-F7D3A3D2366B}"/>
            </c:ext>
          </c:extLst>
        </c:ser>
        <c:ser>
          <c:idx val="2"/>
          <c:order val="2"/>
          <c:tx>
            <c:strRef>
              <c:f>sample8!$U$1</c:f>
              <c:strCache>
                <c:ptCount val="1"/>
                <c:pt idx="0">
                  <c:v>spring(C)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sample8!$R$2:$R$36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sample8!$U$2:$U$36</c:f>
              <c:numCache>
                <c:formatCode>#,##0.000</c:formatCode>
                <c:ptCount val="35"/>
                <c:pt idx="0">
                  <c:v>-6042.0563761393232</c:v>
                </c:pt>
                <c:pt idx="1">
                  <c:v>-3328.0709228515625</c:v>
                </c:pt>
                <c:pt idx="2">
                  <c:v>-35.558426221211754</c:v>
                </c:pt>
                <c:pt idx="3">
                  <c:v>-412.78695170084637</c:v>
                </c:pt>
                <c:pt idx="4">
                  <c:v>-424.07348251342773</c:v>
                </c:pt>
                <c:pt idx="5">
                  <c:v>1931.1986592610676</c:v>
                </c:pt>
                <c:pt idx="6">
                  <c:v>467.91539001464844</c:v>
                </c:pt>
                <c:pt idx="7">
                  <c:v>-862.12106577555335</c:v>
                </c:pt>
                <c:pt idx="8">
                  <c:v>-1498.2832059860229</c:v>
                </c:pt>
                <c:pt idx="9">
                  <c:v>-1046.068473815918</c:v>
                </c:pt>
                <c:pt idx="10">
                  <c:v>-809.88361231485999</c:v>
                </c:pt>
                <c:pt idx="11">
                  <c:v>-1263.993018468221</c:v>
                </c:pt>
                <c:pt idx="12">
                  <c:v>-1966.2123705546062</c:v>
                </c:pt>
                <c:pt idx="13">
                  <c:v>-1858.7215169270833</c:v>
                </c:pt>
                <c:pt idx="14">
                  <c:v>-1549.0040995279949</c:v>
                </c:pt>
                <c:pt idx="15">
                  <c:v>-1858.7508748372395</c:v>
                </c:pt>
                <c:pt idx="16">
                  <c:v>-2699.8511555989585</c:v>
                </c:pt>
                <c:pt idx="17">
                  <c:v>-3049.4275207519531</c:v>
                </c:pt>
                <c:pt idx="18">
                  <c:v>-2368.0089524586997</c:v>
                </c:pt>
                <c:pt idx="19">
                  <c:v>-1991.8058471679688</c:v>
                </c:pt>
                <c:pt idx="20">
                  <c:v>-2856.4341328938804</c:v>
                </c:pt>
                <c:pt idx="21">
                  <c:v>-3633.1802673339844</c:v>
                </c:pt>
                <c:pt idx="22">
                  <c:v>-3042.4685363769531</c:v>
                </c:pt>
                <c:pt idx="23">
                  <c:v>-3176.7792820135751</c:v>
                </c:pt>
                <c:pt idx="24">
                  <c:v>-2877.2876129150391</c:v>
                </c:pt>
                <c:pt idx="25">
                  <c:v>-4411.8112462361651</c:v>
                </c:pt>
                <c:pt idx="26">
                  <c:v>-5416.500569661458</c:v>
                </c:pt>
                <c:pt idx="27">
                  <c:v>-5096.705192565918</c:v>
                </c:pt>
                <c:pt idx="28">
                  <c:v>-4267.5683441162109</c:v>
                </c:pt>
                <c:pt idx="29">
                  <c:v>-4993.6492614746094</c:v>
                </c:pt>
                <c:pt idx="30">
                  <c:v>-6648.9274470011396</c:v>
                </c:pt>
                <c:pt idx="31">
                  <c:v>-8152.9624811808271</c:v>
                </c:pt>
                <c:pt idx="32">
                  <c:v>-8482.4323933919277</c:v>
                </c:pt>
                <c:pt idx="33">
                  <c:v>-7011.6301879882813</c:v>
                </c:pt>
                <c:pt idx="34">
                  <c:v>-7143.159342447917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1C-491C-887B-F7D3A3D2366B}"/>
            </c:ext>
          </c:extLst>
        </c:ser>
        <c:ser>
          <c:idx val="3"/>
          <c:order val="3"/>
          <c:tx>
            <c:strRef>
              <c:f>sample8!$V$1</c:f>
              <c:strCache>
                <c:ptCount val="1"/>
                <c:pt idx="0">
                  <c:v>fall(C)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sample8!$R$2:$R$36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sample8!$V$2:$V$36</c:f>
              <c:numCache>
                <c:formatCode>#,##0.000</c:formatCode>
                <c:ptCount val="35"/>
                <c:pt idx="0">
                  <c:v>-3319.6229426066079</c:v>
                </c:pt>
                <c:pt idx="1">
                  <c:v>-340.8810920715332</c:v>
                </c:pt>
                <c:pt idx="2">
                  <c:v>1602.4076334635417</c:v>
                </c:pt>
                <c:pt idx="3">
                  <c:v>-26.840071360270183</c:v>
                </c:pt>
                <c:pt idx="4">
                  <c:v>-283.18673706054688</c:v>
                </c:pt>
                <c:pt idx="5">
                  <c:v>-117.10889689127605</c:v>
                </c:pt>
                <c:pt idx="6">
                  <c:v>-548.58319091796875</c:v>
                </c:pt>
                <c:pt idx="7">
                  <c:v>-832.61733055114746</c:v>
                </c:pt>
                <c:pt idx="8">
                  <c:v>-704.07334899902344</c:v>
                </c:pt>
                <c:pt idx="9">
                  <c:v>-358.49556477864581</c:v>
                </c:pt>
                <c:pt idx="10">
                  <c:v>327.99630093574524</c:v>
                </c:pt>
                <c:pt idx="11">
                  <c:v>475.39962514241535</c:v>
                </c:pt>
                <c:pt idx="12">
                  <c:v>1117.935791015625</c:v>
                </c:pt>
                <c:pt idx="13">
                  <c:v>3369.6385904947915</c:v>
                </c:pt>
                <c:pt idx="14">
                  <c:v>8188.279134114583</c:v>
                </c:pt>
                <c:pt idx="15">
                  <c:v>16948.218424479168</c:v>
                </c:pt>
                <c:pt idx="16">
                  <c:v>32378.960286458332</c:v>
                </c:pt>
                <c:pt idx="17">
                  <c:v>58254.380208333336</c:v>
                </c:pt>
                <c:pt idx="18">
                  <c:v>96021.41796875</c:v>
                </c:pt>
                <c:pt idx="19">
                  <c:v>143091.27083333334</c:v>
                </c:pt>
                <c:pt idx="20">
                  <c:v>193444.53125</c:v>
                </c:pt>
                <c:pt idx="21">
                  <c:v>239699.63541666666</c:v>
                </c:pt>
                <c:pt idx="22">
                  <c:v>280779.41145833331</c:v>
                </c:pt>
                <c:pt idx="23">
                  <c:v>318154.890625</c:v>
                </c:pt>
                <c:pt idx="24">
                  <c:v>348253.92708333331</c:v>
                </c:pt>
                <c:pt idx="25">
                  <c:v>373471.609375</c:v>
                </c:pt>
                <c:pt idx="26">
                  <c:v>394315.6875</c:v>
                </c:pt>
                <c:pt idx="27">
                  <c:v>412664.15104166669</c:v>
                </c:pt>
                <c:pt idx="28">
                  <c:v>429908.94791666669</c:v>
                </c:pt>
                <c:pt idx="29">
                  <c:v>447973.22916666669</c:v>
                </c:pt>
                <c:pt idx="30">
                  <c:v>471010.94791666669</c:v>
                </c:pt>
                <c:pt idx="31">
                  <c:v>483323.63541666669</c:v>
                </c:pt>
                <c:pt idx="32">
                  <c:v>495734.48958333331</c:v>
                </c:pt>
                <c:pt idx="33">
                  <c:v>509968.47916666669</c:v>
                </c:pt>
                <c:pt idx="34">
                  <c:v>519161.64583333331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1C-491C-887B-F7D3A3D2366B}"/>
            </c:ext>
          </c:extLst>
        </c:ser>
        <c:ser>
          <c:idx val="4"/>
          <c:order val="4"/>
          <c:tx>
            <c:strRef>
              <c:f>sample8!$W$1</c:f>
              <c:strCache>
                <c:ptCount val="1"/>
                <c:pt idx="0">
                  <c:v>summer(D)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sample8!$R$2:$R$36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sample8!$W$2:$W$36</c:f>
              <c:numCache>
                <c:formatCode>#,##0.000</c:formatCode>
                <c:ptCount val="35"/>
                <c:pt idx="0" formatCode="General">
                  <c:v>1795.7202555338542</c:v>
                </c:pt>
                <c:pt idx="1">
                  <c:v>2414.9029642740884</c:v>
                </c:pt>
                <c:pt idx="2" formatCode="General">
                  <c:v>2774.5164591471353</c:v>
                </c:pt>
                <c:pt idx="3">
                  <c:v>2647.212198893229</c:v>
                </c:pt>
                <c:pt idx="4" formatCode="General">
                  <c:v>1663.7020416259766</c:v>
                </c:pt>
                <c:pt idx="5">
                  <c:v>758.16460927327478</c:v>
                </c:pt>
                <c:pt idx="6" formatCode="General">
                  <c:v>-1080.6827182769775</c:v>
                </c:pt>
                <c:pt idx="7">
                  <c:v>-1333.2814242045085</c:v>
                </c:pt>
                <c:pt idx="8" formatCode="General">
                  <c:v>-1053.9061009089153</c:v>
                </c:pt>
                <c:pt idx="9">
                  <c:v>-1232.9148763020833</c:v>
                </c:pt>
                <c:pt idx="10" formatCode="General">
                  <c:v>-1219.6801859537761</c:v>
                </c:pt>
                <c:pt idx="11">
                  <c:v>-916.07307942708337</c:v>
                </c:pt>
                <c:pt idx="12" formatCode="General">
                  <c:v>-1107.6235376993816</c:v>
                </c:pt>
                <c:pt idx="13">
                  <c:v>-1215.2130482991536</c:v>
                </c:pt>
                <c:pt idx="14" formatCode="General">
                  <c:v>-1316.2752939860027</c:v>
                </c:pt>
                <c:pt idx="15">
                  <c:v>-1157.9676901499431</c:v>
                </c:pt>
                <c:pt idx="16" formatCode="General">
                  <c:v>-901.96735636393225</c:v>
                </c:pt>
                <c:pt idx="17">
                  <c:v>-598.51259613037109</c:v>
                </c:pt>
                <c:pt idx="18" formatCode="General">
                  <c:v>-320.76358795166016</c:v>
                </c:pt>
                <c:pt idx="19">
                  <c:v>58.279706319173179</c:v>
                </c:pt>
                <c:pt idx="20" formatCode="General">
                  <c:v>561.85292561848962</c:v>
                </c:pt>
                <c:pt idx="21">
                  <c:v>603.60586547851563</c:v>
                </c:pt>
                <c:pt idx="22" formatCode="General">
                  <c:v>841.19473775227868</c:v>
                </c:pt>
                <c:pt idx="23">
                  <c:v>1148.840840657552</c:v>
                </c:pt>
                <c:pt idx="24" formatCode="General">
                  <c:v>1279.8151346842449</c:v>
                </c:pt>
                <c:pt idx="25">
                  <c:v>1634.842793782552</c:v>
                </c:pt>
                <c:pt idx="26" formatCode="General">
                  <c:v>1741.7780456542969</c:v>
                </c:pt>
                <c:pt idx="27">
                  <c:v>1674.5062204996746</c:v>
                </c:pt>
                <c:pt idx="28" formatCode="General">
                  <c:v>2008.847640355428</c:v>
                </c:pt>
                <c:pt idx="29">
                  <c:v>2710.3349812825522</c:v>
                </c:pt>
                <c:pt idx="30" formatCode="General">
                  <c:v>3726.8938802083335</c:v>
                </c:pt>
                <c:pt idx="31">
                  <c:v>5569.530843098958</c:v>
                </c:pt>
                <c:pt idx="32" formatCode="General">
                  <c:v>9148.4581705729161</c:v>
                </c:pt>
                <c:pt idx="33">
                  <c:v>15329.697916666666</c:v>
                </c:pt>
                <c:pt idx="34" formatCode="General">
                  <c:v>23977.533854166668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1C-491C-887B-F7D3A3D2366B}"/>
            </c:ext>
          </c:extLst>
        </c:ser>
        <c:ser>
          <c:idx val="5"/>
          <c:order val="5"/>
          <c:tx>
            <c:strRef>
              <c:f>sample8!$X$1</c:f>
              <c:strCache>
                <c:ptCount val="1"/>
                <c:pt idx="0">
                  <c:v>winter(D)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sample8!$R$2:$R$36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sample8!$X$2:$X$36</c:f>
              <c:numCache>
                <c:formatCode>#,##0.000</c:formatCode>
                <c:ptCount val="35"/>
                <c:pt idx="0">
                  <c:v>-2612.7657877604165</c:v>
                </c:pt>
                <c:pt idx="1">
                  <c:v>-2142.2237141927085</c:v>
                </c:pt>
                <c:pt idx="2">
                  <c:v>-1707.7442067464192</c:v>
                </c:pt>
                <c:pt idx="3">
                  <c:v>-1094.4586791992188</c:v>
                </c:pt>
                <c:pt idx="4">
                  <c:v>-667.059824625651</c:v>
                </c:pt>
                <c:pt idx="5">
                  <c:v>-349.15192667643231</c:v>
                </c:pt>
                <c:pt idx="6">
                  <c:v>459.34323183695477</c:v>
                </c:pt>
                <c:pt idx="7">
                  <c:v>674.38006591796875</c:v>
                </c:pt>
                <c:pt idx="8">
                  <c:v>737.47286860148108</c:v>
                </c:pt>
                <c:pt idx="9">
                  <c:v>1148.2192993164063</c:v>
                </c:pt>
                <c:pt idx="10">
                  <c:v>1106.5960235595703</c:v>
                </c:pt>
                <c:pt idx="11">
                  <c:v>1038.0234483083088</c:v>
                </c:pt>
                <c:pt idx="12">
                  <c:v>925.11233011881507</c:v>
                </c:pt>
                <c:pt idx="13">
                  <c:v>-194.27787780761719</c:v>
                </c:pt>
                <c:pt idx="14">
                  <c:v>-571.94809977213538</c:v>
                </c:pt>
                <c:pt idx="15">
                  <c:v>-526.3175150553385</c:v>
                </c:pt>
                <c:pt idx="16">
                  <c:v>-355.45255533854169</c:v>
                </c:pt>
                <c:pt idx="17">
                  <c:v>-234.00558471679688</c:v>
                </c:pt>
                <c:pt idx="18">
                  <c:v>-143.95833333333334</c:v>
                </c:pt>
                <c:pt idx="19">
                  <c:v>-15.5699462890625</c:v>
                </c:pt>
                <c:pt idx="20">
                  <c:v>132.35881551106772</c:v>
                </c:pt>
                <c:pt idx="21">
                  <c:v>282.19902292887372</c:v>
                </c:pt>
                <c:pt idx="22">
                  <c:v>635.1277974446615</c:v>
                </c:pt>
                <c:pt idx="23">
                  <c:v>420.14766947428387</c:v>
                </c:pt>
                <c:pt idx="24">
                  <c:v>464.55170186360675</c:v>
                </c:pt>
                <c:pt idx="25">
                  <c:v>914.27343241373694</c:v>
                </c:pt>
                <c:pt idx="26">
                  <c:v>1005.9768981933594</c:v>
                </c:pt>
                <c:pt idx="27">
                  <c:v>1019.3183848063151</c:v>
                </c:pt>
                <c:pt idx="28">
                  <c:v>1200.0727233886719</c:v>
                </c:pt>
                <c:pt idx="29">
                  <c:v>1229.5274861653645</c:v>
                </c:pt>
                <c:pt idx="30">
                  <c:v>1566.6306966145833</c:v>
                </c:pt>
                <c:pt idx="31">
                  <c:v>2446.9332071940103</c:v>
                </c:pt>
                <c:pt idx="32">
                  <c:v>4188.5157470703125</c:v>
                </c:pt>
                <c:pt idx="33">
                  <c:v>7180.8777058919268</c:v>
                </c:pt>
                <c:pt idx="34">
                  <c:v>11346.849890391031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1C-491C-887B-F7D3A3D2366B}"/>
            </c:ext>
          </c:extLst>
        </c:ser>
        <c:ser>
          <c:idx val="6"/>
          <c:order val="6"/>
          <c:tx>
            <c:strRef>
              <c:f>sample8!$Y$1</c:f>
              <c:strCache>
                <c:ptCount val="1"/>
                <c:pt idx="0">
                  <c:v>spring(D)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sample8!$R$2:$R$36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sample8!$Y$2:$Y$36</c:f>
              <c:numCache>
                <c:formatCode>#,##0.000</c:formatCode>
                <c:ptCount val="35"/>
                <c:pt idx="0">
                  <c:v>579.71540323893225</c:v>
                </c:pt>
                <c:pt idx="1">
                  <c:v>619.2122802734375</c:v>
                </c:pt>
                <c:pt idx="2">
                  <c:v>540.2235209147135</c:v>
                </c:pt>
                <c:pt idx="3">
                  <c:v>307.70286051432294</c:v>
                </c:pt>
                <c:pt idx="4">
                  <c:v>280.82509867350262</c:v>
                </c:pt>
                <c:pt idx="5">
                  <c:v>147.83144124348959</c:v>
                </c:pt>
                <c:pt idx="6">
                  <c:v>26.03830885887146</c:v>
                </c:pt>
                <c:pt idx="7">
                  <c:v>-7.6975288391113281</c:v>
                </c:pt>
                <c:pt idx="8">
                  <c:v>32.974510192871094</c:v>
                </c:pt>
                <c:pt idx="9">
                  <c:v>88.107806603113815</c:v>
                </c:pt>
                <c:pt idx="10">
                  <c:v>-127.72666295369466</c:v>
                </c:pt>
                <c:pt idx="11">
                  <c:v>-226.95045471191406</c:v>
                </c:pt>
                <c:pt idx="12">
                  <c:v>-60.457128524780273</c:v>
                </c:pt>
                <c:pt idx="13">
                  <c:v>-519.16171264648438</c:v>
                </c:pt>
                <c:pt idx="14">
                  <c:v>-736.75661214192712</c:v>
                </c:pt>
                <c:pt idx="15">
                  <c:v>-519.84237670898438</c:v>
                </c:pt>
                <c:pt idx="16">
                  <c:v>-189.83539136250815</c:v>
                </c:pt>
                <c:pt idx="17">
                  <c:v>33.515360514322914</c:v>
                </c:pt>
                <c:pt idx="18">
                  <c:v>51.212791442871094</c:v>
                </c:pt>
                <c:pt idx="19">
                  <c:v>43.421946207682289</c:v>
                </c:pt>
                <c:pt idx="20">
                  <c:v>-251.43206532796225</c:v>
                </c:pt>
                <c:pt idx="21">
                  <c:v>-283.76913452148438</c:v>
                </c:pt>
                <c:pt idx="22">
                  <c:v>-51.001073201497398</c:v>
                </c:pt>
                <c:pt idx="23">
                  <c:v>54.74420897165934</c:v>
                </c:pt>
                <c:pt idx="24">
                  <c:v>315.430903116862</c:v>
                </c:pt>
                <c:pt idx="25">
                  <c:v>348.842524210612</c:v>
                </c:pt>
                <c:pt idx="26">
                  <c:v>263.57380421956378</c:v>
                </c:pt>
                <c:pt idx="27">
                  <c:v>173.26895650227866</c:v>
                </c:pt>
                <c:pt idx="28">
                  <c:v>119.26455434163411</c:v>
                </c:pt>
                <c:pt idx="29">
                  <c:v>83.765698750813797</c:v>
                </c:pt>
                <c:pt idx="30">
                  <c:v>-9.8650004069010411</c:v>
                </c:pt>
                <c:pt idx="31">
                  <c:v>-107.83228302001953</c:v>
                </c:pt>
                <c:pt idx="32">
                  <c:v>37.99795468648275</c:v>
                </c:pt>
                <c:pt idx="33">
                  <c:v>-5.0396448771158857</c:v>
                </c:pt>
                <c:pt idx="34">
                  <c:v>225.87947591145834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71C-491C-887B-F7D3A3D2366B}"/>
            </c:ext>
          </c:extLst>
        </c:ser>
        <c:ser>
          <c:idx val="7"/>
          <c:order val="7"/>
          <c:tx>
            <c:strRef>
              <c:f>sample8!$Z$1</c:f>
              <c:strCache>
                <c:ptCount val="1"/>
                <c:pt idx="0">
                  <c:v>fall(D)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sample8!$R$2:$R$36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sample8!$Z$2:$Z$36</c:f>
              <c:numCache>
                <c:formatCode>#,##0.000</c:formatCode>
                <c:ptCount val="35"/>
                <c:pt idx="0">
                  <c:v>-2524.9661458333335</c:v>
                </c:pt>
                <c:pt idx="1">
                  <c:v>-2729.428670247396</c:v>
                </c:pt>
                <c:pt idx="2">
                  <c:v>-1625.6348063151042</c:v>
                </c:pt>
                <c:pt idx="3">
                  <c:v>-1113.7977905273438</c:v>
                </c:pt>
                <c:pt idx="4">
                  <c:v>-264.96216074625653</c:v>
                </c:pt>
                <c:pt idx="5">
                  <c:v>335.29534403483075</c:v>
                </c:pt>
                <c:pt idx="6">
                  <c:v>247.64528656005859</c:v>
                </c:pt>
                <c:pt idx="7">
                  <c:v>378.6488978068034</c:v>
                </c:pt>
                <c:pt idx="8">
                  <c:v>454.16292317708331</c:v>
                </c:pt>
                <c:pt idx="9">
                  <c:v>613.57537333170569</c:v>
                </c:pt>
                <c:pt idx="10">
                  <c:v>659.30555725097656</c:v>
                </c:pt>
                <c:pt idx="11">
                  <c:v>633.43935139973962</c:v>
                </c:pt>
                <c:pt idx="12">
                  <c:v>555.789306640625</c:v>
                </c:pt>
                <c:pt idx="13">
                  <c:v>239.06374867757162</c:v>
                </c:pt>
                <c:pt idx="14">
                  <c:v>88.3824462890625</c:v>
                </c:pt>
                <c:pt idx="15">
                  <c:v>-2.5436172485351563</c:v>
                </c:pt>
                <c:pt idx="16">
                  <c:v>323.75164159138996</c:v>
                </c:pt>
                <c:pt idx="17">
                  <c:v>358.69794718424481</c:v>
                </c:pt>
                <c:pt idx="18">
                  <c:v>328.16249593098956</c:v>
                </c:pt>
                <c:pt idx="19">
                  <c:v>52.702555338541664</c:v>
                </c:pt>
                <c:pt idx="20">
                  <c:v>-434.72612508138019</c:v>
                </c:pt>
                <c:pt idx="21">
                  <c:v>-611.5428568522135</c:v>
                </c:pt>
                <c:pt idx="22">
                  <c:v>-388.74496459960938</c:v>
                </c:pt>
                <c:pt idx="23">
                  <c:v>-189.32470321655273</c:v>
                </c:pt>
                <c:pt idx="24">
                  <c:v>-412.54505920410156</c:v>
                </c:pt>
                <c:pt idx="25">
                  <c:v>-284.30706787109375</c:v>
                </c:pt>
                <c:pt idx="26">
                  <c:v>-135.07949574788412</c:v>
                </c:pt>
                <c:pt idx="27">
                  <c:v>37.713159131507076</c:v>
                </c:pt>
                <c:pt idx="28">
                  <c:v>1454.1099344889324</c:v>
                </c:pt>
                <c:pt idx="29">
                  <c:v>4032.9105631510415</c:v>
                </c:pt>
                <c:pt idx="30">
                  <c:v>8555.5364583333339</c:v>
                </c:pt>
                <c:pt idx="31">
                  <c:v>17275.477864583332</c:v>
                </c:pt>
                <c:pt idx="32">
                  <c:v>33737.8515625</c:v>
                </c:pt>
                <c:pt idx="33">
                  <c:v>63398.34375</c:v>
                </c:pt>
                <c:pt idx="34">
                  <c:v>100834.37239583333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71C-491C-887B-F7D3A3D23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20319"/>
        <c:axId val="119820735"/>
      </c:scatterChart>
      <c:valAx>
        <c:axId val="11982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20735"/>
        <c:crosses val="autoZero"/>
        <c:crossBetween val="midCat"/>
      </c:valAx>
      <c:valAx>
        <c:axId val="11982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20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171450</xdr:colOff>
      <xdr:row>44</xdr:row>
      <xdr:rowOff>28575</xdr:rowOff>
    </xdr:from>
    <xdr:to>
      <xdr:col>29</xdr:col>
      <xdr:colOff>238125</xdr:colOff>
      <xdr:row>58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104775</xdr:colOff>
      <xdr:row>49</xdr:row>
      <xdr:rowOff>133350</xdr:rowOff>
    </xdr:from>
    <xdr:to>
      <xdr:col>28</xdr:col>
      <xdr:colOff>266700</xdr:colOff>
      <xdr:row>64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323850</xdr:colOff>
      <xdr:row>39</xdr:row>
      <xdr:rowOff>152400</xdr:rowOff>
    </xdr:from>
    <xdr:to>
      <xdr:col>27</xdr:col>
      <xdr:colOff>533400</xdr:colOff>
      <xdr:row>54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457200</xdr:colOff>
      <xdr:row>38</xdr:row>
      <xdr:rowOff>47625</xdr:rowOff>
    </xdr:from>
    <xdr:to>
      <xdr:col>27</xdr:col>
      <xdr:colOff>152400</xdr:colOff>
      <xdr:row>52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409575</xdr:colOff>
      <xdr:row>39</xdr:row>
      <xdr:rowOff>180975</xdr:rowOff>
    </xdr:from>
    <xdr:to>
      <xdr:col>25</xdr:col>
      <xdr:colOff>9525</xdr:colOff>
      <xdr:row>54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161925</xdr:colOff>
      <xdr:row>48</xdr:row>
      <xdr:rowOff>0</xdr:rowOff>
    </xdr:from>
    <xdr:to>
      <xdr:col>25</xdr:col>
      <xdr:colOff>276225</xdr:colOff>
      <xdr:row>62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6"/>
  <sheetViews>
    <sheetView topLeftCell="D1" workbookViewId="0">
      <selection activeCell="V3" sqref="V3:V37"/>
    </sheetView>
  </sheetViews>
  <sheetFormatPr defaultRowHeight="15"/>
  <cols>
    <col min="23" max="25" width="9.85546875" bestFit="1" customWidth="1"/>
    <col min="27" max="27" width="9.85546875" bestFit="1" customWidth="1"/>
    <col min="29" max="29" width="9.85546875" bestFit="1" customWidth="1"/>
  </cols>
  <sheetData>
    <row r="1" spans="1:30">
      <c r="A1" s="2" t="s">
        <v>0</v>
      </c>
      <c r="B1" s="2" t="s">
        <v>1</v>
      </c>
      <c r="C1" s="2" t="s">
        <v>2</v>
      </c>
      <c r="F1" s="1"/>
      <c r="G1" s="1"/>
      <c r="H1" s="1"/>
    </row>
    <row r="2" spans="1:30">
      <c r="A2" s="1">
        <v>-1689.3162841796875</v>
      </c>
      <c r="B2" s="1">
        <v>-4359.1494140625</v>
      </c>
      <c r="C2" s="1">
        <v>-2379.34716796875</v>
      </c>
      <c r="F2" s="1">
        <v>-1424.5489501953125</v>
      </c>
      <c r="G2" s="1">
        <v>-2428.041259765625</v>
      </c>
      <c r="H2" s="1">
        <v>-742.5125732421875</v>
      </c>
      <c r="K2" s="1">
        <v>-231.48001098632813</v>
      </c>
      <c r="L2" s="1">
        <v>-846.30938720703125</v>
      </c>
      <c r="M2" s="1">
        <v>-2780.5078125</v>
      </c>
      <c r="P2" s="1">
        <v>-503.9805908203125</v>
      </c>
      <c r="Q2" s="1">
        <v>-1051.4068603515625</v>
      </c>
      <c r="R2" s="1">
        <v>-1228.1671142578125</v>
      </c>
      <c r="W2" t="s">
        <v>11</v>
      </c>
      <c r="X2" t="s">
        <v>12</v>
      </c>
      <c r="Y2" t="s">
        <v>13</v>
      </c>
      <c r="Z2" t="s">
        <v>14</v>
      </c>
      <c r="AA2" t="s">
        <v>15</v>
      </c>
      <c r="AB2" t="s">
        <v>16</v>
      </c>
      <c r="AC2" t="s">
        <v>17</v>
      </c>
      <c r="AD2" t="s">
        <v>18</v>
      </c>
    </row>
    <row r="3" spans="1:30">
      <c r="A3" s="1">
        <v>-1380.0084228515625</v>
      </c>
      <c r="B3" s="1">
        <v>-2621.56201171875</v>
      </c>
      <c r="C3" s="1">
        <v>-2004.4346923828125</v>
      </c>
      <c r="F3" s="1">
        <v>-1605.111083984375</v>
      </c>
      <c r="G3" s="1">
        <v>-2086.65185546875</v>
      </c>
      <c r="H3" s="1">
        <v>-1364.1517333984375</v>
      </c>
      <c r="K3" s="1">
        <v>-274.61553955078125</v>
      </c>
      <c r="L3" s="1">
        <v>-281.374267578125</v>
      </c>
      <c r="M3" s="1">
        <v>-2015.6866455078125</v>
      </c>
      <c r="P3" s="1">
        <v>-694.15155029296875</v>
      </c>
      <c r="Q3" s="1">
        <v>-966.75335693359375</v>
      </c>
      <c r="R3" s="1">
        <v>-822.59320068359375</v>
      </c>
      <c r="V3" s="3">
        <v>1</v>
      </c>
      <c r="W3" s="1">
        <f>AVERAGE(A2:C2)</f>
        <v>-2809.270955403646</v>
      </c>
      <c r="X3" s="1">
        <f>AVERAGE(F2:H2)</f>
        <v>-1531.700927734375</v>
      </c>
      <c r="Y3" s="1">
        <f>AVERAGE(K2:M2)</f>
        <v>-1286.0990702311199</v>
      </c>
      <c r="Z3" s="1">
        <f>AVERAGE(P2:R2)</f>
        <v>-927.85152180989587</v>
      </c>
      <c r="AA3" s="1">
        <f>AVERAGE(A41:C41)</f>
        <v>-8437.8500162760411</v>
      </c>
      <c r="AB3" s="1">
        <f>AVERAGE(F41:H41)</f>
        <v>1218.991943359375</v>
      </c>
      <c r="AC3" s="1">
        <f>AVERAGE(K41:M41)</f>
        <v>-1987.5947875976563</v>
      </c>
      <c r="AD3" s="1">
        <f>AVERAGE(P41:R41)</f>
        <v>581.69106038411462</v>
      </c>
    </row>
    <row r="4" spans="1:30">
      <c r="A4" s="1">
        <v>-581.35675048828125</v>
      </c>
      <c r="B4" s="1">
        <v>-733.7794189453125</v>
      </c>
      <c r="C4" s="1">
        <v>-313.35433959960938</v>
      </c>
      <c r="F4" s="1">
        <v>-344.79037475585938</v>
      </c>
      <c r="G4" s="1">
        <v>-747.05914306640625</v>
      </c>
      <c r="H4" s="1">
        <v>-497.931640625</v>
      </c>
      <c r="K4" s="1">
        <v>-479.52059936523438</v>
      </c>
      <c r="L4" s="1">
        <v>421.38705444335938</v>
      </c>
      <c r="M4" s="1">
        <v>-1503.5645751953125</v>
      </c>
      <c r="P4" s="1">
        <v>-288.36941528320313</v>
      </c>
      <c r="Q4" s="1">
        <v>-442.56082153320313</v>
      </c>
      <c r="R4" s="1">
        <v>-253.73028564453125</v>
      </c>
      <c r="V4" s="3">
        <v>2</v>
      </c>
      <c r="W4" s="1">
        <f>AVERAGE(A3:C3)</f>
        <v>-2002.001708984375</v>
      </c>
      <c r="X4" s="1">
        <f>AVERAGE(F3:H3)</f>
        <v>-1685.3048909505208</v>
      </c>
      <c r="Y4" s="1">
        <f>AVERAGE(K3:M3)</f>
        <v>-857.22548421223962</v>
      </c>
      <c r="Z4" s="1">
        <f>AVERAGE(P3:R3)</f>
        <v>-827.83270263671875</v>
      </c>
      <c r="AA4" s="1">
        <f>AVERAGE(A42:C42)</f>
        <v>-6850.365966796875</v>
      </c>
      <c r="AB4" s="1">
        <f>AVERAGE(F42:H42)</f>
        <v>522.05123901367188</v>
      </c>
      <c r="AC4" s="1">
        <f>AVERAGE(K42:M42)</f>
        <v>-1712.4253743489583</v>
      </c>
      <c r="AD4" s="1">
        <f>AVERAGE(P42:R42)</f>
        <v>377.70479329427081</v>
      </c>
    </row>
    <row r="5" spans="1:30">
      <c r="A5" s="1">
        <v>358.470703125</v>
      </c>
      <c r="B5" s="1">
        <v>765.479736328125</v>
      </c>
      <c r="C5" s="1">
        <v>-15.582589149475098</v>
      </c>
      <c r="F5" s="1">
        <v>666.22564697265625</v>
      </c>
      <c r="G5" s="1">
        <v>211.97097778320313</v>
      </c>
      <c r="H5" s="1">
        <v>386.36663818359375</v>
      </c>
      <c r="K5" s="1">
        <v>-418.64047241210938</v>
      </c>
      <c r="L5" s="1">
        <v>413.33587646484375</v>
      </c>
      <c r="M5" s="1">
        <v>-464.82159423828125</v>
      </c>
      <c r="P5" s="1">
        <v>-166.3216552734375</v>
      </c>
      <c r="Q5" s="1">
        <v>-182.35267639160156</v>
      </c>
      <c r="R5" s="1">
        <v>302.60140991210938</v>
      </c>
      <c r="V5" s="3">
        <v>3</v>
      </c>
      <c r="W5" s="1">
        <f t="shared" ref="W5:W37" si="0">AVERAGE(A4:C4)</f>
        <v>-542.83016967773438</v>
      </c>
      <c r="X5" s="1">
        <f t="shared" ref="X5:X37" si="1">AVERAGE(F4:H4)</f>
        <v>-529.92705281575525</v>
      </c>
      <c r="Y5" s="1">
        <f t="shared" ref="Y5:Y37" si="2">AVERAGE(K4:M4)</f>
        <v>-520.5660400390625</v>
      </c>
      <c r="Z5" s="1">
        <f t="shared" ref="Z5:Z37" si="3">AVERAGE(P4:R4)</f>
        <v>-328.22017415364581</v>
      </c>
      <c r="AA5" s="1">
        <f t="shared" ref="AA5:AA37" si="4">AVERAGE(A43:C43)</f>
        <v>-3814.629191080729</v>
      </c>
      <c r="AB5" s="1">
        <f t="shared" ref="AB5:AB37" si="5">AVERAGE(F43:H43)</f>
        <v>167.40221436818442</v>
      </c>
      <c r="AC5" s="1">
        <f t="shared" ref="AC5:AC37" si="6">AVERAGE(K43:M43)</f>
        <v>-1327.7701822916667</v>
      </c>
      <c r="AD5" s="1">
        <f t="shared" ref="AD5:AD37" si="7">AVERAGE(P43:R43)</f>
        <v>146.16123580932617</v>
      </c>
    </row>
    <row r="6" spans="1:30">
      <c r="A6" s="1">
        <v>147.84890747070313</v>
      </c>
      <c r="B6" s="1">
        <v>499.66860961914063</v>
      </c>
      <c r="C6" s="1">
        <v>-6.7639508247375488</v>
      </c>
      <c r="F6" s="1">
        <v>32.054130554199219</v>
      </c>
      <c r="G6" s="1">
        <v>248.32142639160156</v>
      </c>
      <c r="H6" s="1">
        <v>525.1258544921875</v>
      </c>
      <c r="K6" s="1">
        <v>218.3958740234375</v>
      </c>
      <c r="L6" s="1">
        <v>264.17138671875</v>
      </c>
      <c r="M6" s="1">
        <v>204.52302551269531</v>
      </c>
      <c r="P6" s="1">
        <v>282.82766723632813</v>
      </c>
      <c r="Q6" s="1">
        <v>497.52734375</v>
      </c>
      <c r="R6" s="1">
        <v>85.714363098144531</v>
      </c>
      <c r="V6" s="3">
        <v>4</v>
      </c>
      <c r="W6" s="1">
        <f t="shared" si="0"/>
        <v>369.45595010121662</v>
      </c>
      <c r="X6" s="1">
        <f t="shared" si="1"/>
        <v>421.52108764648438</v>
      </c>
      <c r="Y6" s="1">
        <f t="shared" si="2"/>
        <v>-156.70873006184897</v>
      </c>
      <c r="Z6" s="1">
        <f t="shared" si="3"/>
        <v>-15.357640584309896</v>
      </c>
      <c r="AA6" s="1">
        <f t="shared" si="4"/>
        <v>-2044.4496663411458</v>
      </c>
      <c r="AB6" s="1">
        <f t="shared" si="5"/>
        <v>167.93809000651041</v>
      </c>
      <c r="AC6" s="1">
        <f t="shared" si="6"/>
        <v>-875.20485432942712</v>
      </c>
      <c r="AD6" s="1">
        <f t="shared" si="7"/>
        <v>74.086446762084961</v>
      </c>
    </row>
    <row r="7" spans="1:30">
      <c r="A7" s="1">
        <v>456.07476806640625</v>
      </c>
      <c r="B7" s="1">
        <v>-207.75193786621094</v>
      </c>
      <c r="C7" s="1">
        <v>700.53125</v>
      </c>
      <c r="F7" s="1">
        <v>-76.67205810546875</v>
      </c>
      <c r="G7" s="1">
        <v>497.71875</v>
      </c>
      <c r="H7" s="1">
        <v>-86.302452087402344</v>
      </c>
      <c r="K7" s="1">
        <v>230.15487670898438</v>
      </c>
      <c r="L7" s="1">
        <v>-28.256740570068359</v>
      </c>
      <c r="M7" s="1">
        <v>557.98480224609375</v>
      </c>
      <c r="P7" s="1">
        <v>523.41448974609375</v>
      </c>
      <c r="Q7" s="1">
        <v>534.9776611328125</v>
      </c>
      <c r="R7" s="1">
        <v>17.022619247436523</v>
      </c>
      <c r="V7" s="3">
        <v>5</v>
      </c>
      <c r="W7" s="1">
        <f t="shared" si="0"/>
        <v>213.58452208836874</v>
      </c>
      <c r="X7" s="1">
        <f t="shared" si="1"/>
        <v>268.50047047932941</v>
      </c>
      <c r="Y7" s="1">
        <f t="shared" si="2"/>
        <v>229.03009541829428</v>
      </c>
      <c r="Z7" s="1">
        <f t="shared" si="3"/>
        <v>288.6897913614909</v>
      </c>
      <c r="AA7" s="1">
        <f t="shared" si="4"/>
        <v>-818.99164326985681</v>
      </c>
      <c r="AB7" s="1">
        <f t="shared" si="5"/>
        <v>166.52864329020181</v>
      </c>
      <c r="AC7" s="1">
        <f t="shared" si="6"/>
        <v>221.72636413574219</v>
      </c>
      <c r="AD7" s="1">
        <f t="shared" si="7"/>
        <v>260.01163736979169</v>
      </c>
    </row>
    <row r="8" spans="1:30">
      <c r="A8" s="1">
        <v>-84.441543579101563</v>
      </c>
      <c r="B8" s="1">
        <v>-476.5240478515625</v>
      </c>
      <c r="C8" s="1">
        <v>11.240513801574707</v>
      </c>
      <c r="F8" s="1">
        <v>-486.00762939453125</v>
      </c>
      <c r="G8" s="1">
        <v>428.02230834960938</v>
      </c>
      <c r="H8" s="1">
        <v>-360.78543090820313</v>
      </c>
      <c r="K8" s="1">
        <v>114.64631652832031</v>
      </c>
      <c r="L8" s="1">
        <v>-294.82550048828125</v>
      </c>
      <c r="M8" s="1">
        <v>553.5247802734375</v>
      </c>
      <c r="P8" s="1">
        <v>211.8216552734375</v>
      </c>
      <c r="Q8" s="1">
        <v>57.678012847900391</v>
      </c>
      <c r="R8" s="1">
        <v>-232.94256591796875</v>
      </c>
      <c r="V8" s="3">
        <v>6</v>
      </c>
      <c r="W8" s="1">
        <f t="shared" si="0"/>
        <v>316.28469340006512</v>
      </c>
      <c r="X8" s="1">
        <f t="shared" si="1"/>
        <v>111.58141326904297</v>
      </c>
      <c r="Y8" s="1">
        <f t="shared" si="2"/>
        <v>253.29431279500326</v>
      </c>
      <c r="Z8" s="1">
        <f t="shared" si="3"/>
        <v>358.47159004211426</v>
      </c>
      <c r="AA8" s="1">
        <f t="shared" si="4"/>
        <v>318.62534077962238</v>
      </c>
      <c r="AB8" s="1">
        <f t="shared" si="5"/>
        <v>91.91607666015625</v>
      </c>
      <c r="AC8" s="1">
        <f t="shared" si="6"/>
        <v>389.61461385091144</v>
      </c>
      <c r="AD8" s="1">
        <f t="shared" si="7"/>
        <v>110.1816242535909</v>
      </c>
    </row>
    <row r="9" spans="1:30">
      <c r="A9" s="1">
        <v>-94.950057983398438</v>
      </c>
      <c r="B9" s="1">
        <v>152.90699768066406</v>
      </c>
      <c r="C9" s="1">
        <v>-138.97990417480469</v>
      </c>
      <c r="F9" s="1">
        <v>-121.90569305419922</v>
      </c>
      <c r="G9" s="1">
        <v>80.013389587402344</v>
      </c>
      <c r="H9" s="1">
        <v>-64.268417358398438</v>
      </c>
      <c r="K9" s="1">
        <v>107.27642059326172</v>
      </c>
      <c r="L9" s="1">
        <v>-783.232177734375</v>
      </c>
      <c r="M9" s="1">
        <v>169.69358825683594</v>
      </c>
      <c r="P9" s="1">
        <v>-563.37274169921875</v>
      </c>
      <c r="Q9" s="1">
        <v>-143.27009582519531</v>
      </c>
      <c r="R9" s="1">
        <v>81.334449768066406</v>
      </c>
      <c r="V9" s="3">
        <v>7</v>
      </c>
      <c r="W9" s="1">
        <f t="shared" si="0"/>
        <v>-183.24169254302979</v>
      </c>
      <c r="X9" s="1">
        <f t="shared" si="1"/>
        <v>-139.59025065104166</v>
      </c>
      <c r="Y9" s="1">
        <f t="shared" si="2"/>
        <v>124.44853210449219</v>
      </c>
      <c r="Z9" s="1">
        <f t="shared" si="3"/>
        <v>12.185700734456381</v>
      </c>
      <c r="AA9" s="1">
        <f t="shared" si="4"/>
        <v>609.46623738606775</v>
      </c>
      <c r="AB9" s="1">
        <f t="shared" si="5"/>
        <v>-8.5532512664794922</v>
      </c>
      <c r="AC9" s="1">
        <f t="shared" si="6"/>
        <v>354.76458231608075</v>
      </c>
      <c r="AD9" s="1">
        <f t="shared" si="7"/>
        <v>118.27088928222656</v>
      </c>
    </row>
    <row r="10" spans="1:30">
      <c r="A10" s="1">
        <v>-201.64607238769531</v>
      </c>
      <c r="B10" s="1">
        <v>1318.5177001953125</v>
      </c>
      <c r="C10" s="1">
        <v>-237.09095764160156</v>
      </c>
      <c r="F10" s="1">
        <v>264.43060302734375</v>
      </c>
      <c r="G10" s="1">
        <v>-718.98773193359375</v>
      </c>
      <c r="H10" s="1">
        <v>97.795478820800781</v>
      </c>
      <c r="K10" s="1">
        <v>15.482697486877441</v>
      </c>
      <c r="L10" s="1">
        <v>-829.3887939453125</v>
      </c>
      <c r="M10" s="1">
        <v>0.44444763660430908</v>
      </c>
      <c r="P10" s="1">
        <v>-900.62188720703125</v>
      </c>
      <c r="Q10" s="1">
        <v>-321.99945068359375</v>
      </c>
      <c r="R10" s="1">
        <v>625.5333251953125</v>
      </c>
      <c r="V10" s="3">
        <v>8</v>
      </c>
      <c r="W10" s="1">
        <f t="shared" si="0"/>
        <v>-27.007654825846355</v>
      </c>
      <c r="X10" s="1">
        <f t="shared" si="1"/>
        <v>-35.386906941731773</v>
      </c>
      <c r="Y10" s="1">
        <f t="shared" si="2"/>
        <v>-168.75405629475912</v>
      </c>
      <c r="Z10" s="1">
        <f t="shared" si="3"/>
        <v>-208.43612925211588</v>
      </c>
      <c r="AA10" s="1">
        <f t="shared" si="4"/>
        <v>595.6873881022135</v>
      </c>
      <c r="AB10" s="1">
        <f t="shared" si="5"/>
        <v>-141.47571818033853</v>
      </c>
      <c r="AC10" s="1">
        <f t="shared" si="6"/>
        <v>449.13328774770099</v>
      </c>
      <c r="AD10" s="1">
        <f t="shared" si="7"/>
        <v>-75.639856974283859</v>
      </c>
    </row>
    <row r="11" spans="1:30">
      <c r="A11" s="1">
        <v>-75.740516662597656</v>
      </c>
      <c r="B11" s="1">
        <v>3168.17529296875</v>
      </c>
      <c r="C11" s="1">
        <v>0.69642859697341919</v>
      </c>
      <c r="F11" s="1">
        <v>66.665367126464844</v>
      </c>
      <c r="G11" s="1">
        <v>-761.11383056640625</v>
      </c>
      <c r="H11" s="1">
        <v>658.640625</v>
      </c>
      <c r="K11" s="1">
        <v>-87.314933776855469</v>
      </c>
      <c r="L11" s="1">
        <v>-332.26812744140625</v>
      </c>
      <c r="M11" s="1">
        <v>119.921875</v>
      </c>
      <c r="P11" s="1">
        <v>29.668081283569336</v>
      </c>
      <c r="Q11" s="1">
        <v>-222.13504028320313</v>
      </c>
      <c r="R11" s="1">
        <v>1107.380615234375</v>
      </c>
      <c r="V11" s="3">
        <v>9</v>
      </c>
      <c r="W11" s="1">
        <f t="shared" si="0"/>
        <v>293.26022338867188</v>
      </c>
      <c r="X11" s="1">
        <f t="shared" si="1"/>
        <v>-118.92055002848308</v>
      </c>
      <c r="Y11" s="1">
        <f t="shared" si="2"/>
        <v>-271.15388294061023</v>
      </c>
      <c r="Z11" s="1">
        <f t="shared" si="3"/>
        <v>-199.02933756510416</v>
      </c>
      <c r="AA11" s="1">
        <f t="shared" si="4"/>
        <v>717.89023844401038</v>
      </c>
      <c r="AB11" s="1">
        <f t="shared" si="5"/>
        <v>-96.911193211873368</v>
      </c>
      <c r="AC11" s="1">
        <f t="shared" si="6"/>
        <v>577.64004516601563</v>
      </c>
      <c r="AD11" s="1">
        <f t="shared" si="7"/>
        <v>-186.12091064453125</v>
      </c>
    </row>
    <row r="12" spans="1:30">
      <c r="A12" s="1">
        <v>1050.4541015625</v>
      </c>
      <c r="B12" s="1">
        <v>6595.9423828125</v>
      </c>
      <c r="C12" s="1">
        <v>1264.4759521484375</v>
      </c>
      <c r="F12" s="1">
        <v>634.13446044921875</v>
      </c>
      <c r="G12" s="1">
        <v>-44.286830902099609</v>
      </c>
      <c r="H12" s="1">
        <v>1521.3607177734375</v>
      </c>
      <c r="K12" s="1">
        <v>-132.44850158691406</v>
      </c>
      <c r="L12" s="1">
        <v>-97.110328674316406</v>
      </c>
      <c r="M12" s="1">
        <v>-61.999141693115234</v>
      </c>
      <c r="P12" s="1">
        <v>588.7392578125</v>
      </c>
      <c r="Q12" s="1">
        <v>613.1278076171875</v>
      </c>
      <c r="R12" s="1">
        <v>1966.54833984375</v>
      </c>
      <c r="V12" s="3">
        <v>10</v>
      </c>
      <c r="W12" s="1">
        <f t="shared" si="0"/>
        <v>1031.0437349677086</v>
      </c>
      <c r="X12" s="1">
        <f t="shared" si="1"/>
        <v>-11.935946146647135</v>
      </c>
      <c r="Y12" s="1">
        <f t="shared" si="2"/>
        <v>-99.887062072753906</v>
      </c>
      <c r="Z12" s="1">
        <f t="shared" si="3"/>
        <v>304.97121874491376</v>
      </c>
      <c r="AA12" s="1">
        <f t="shared" si="4"/>
        <v>1858.2754313151042</v>
      </c>
      <c r="AB12" s="1">
        <f t="shared" si="5"/>
        <v>-181.73470560709634</v>
      </c>
      <c r="AC12" s="1">
        <f t="shared" si="6"/>
        <v>448.49831136067706</v>
      </c>
      <c r="AD12" s="1">
        <f t="shared" si="7"/>
        <v>109.34856017430623</v>
      </c>
    </row>
    <row r="13" spans="1:30">
      <c r="A13" s="1">
        <v>3585.867431640625</v>
      </c>
      <c r="B13" s="1">
        <v>9450.576171875</v>
      </c>
      <c r="C13" s="1">
        <v>2263.943115234375</v>
      </c>
      <c r="F13" s="1">
        <v>3365.056640625</v>
      </c>
      <c r="G13" s="1">
        <v>1194.4542236328125</v>
      </c>
      <c r="H13" s="1">
        <v>3099.104248046875</v>
      </c>
      <c r="K13" s="1">
        <v>-160.08987426757813</v>
      </c>
      <c r="L13" s="1">
        <v>166.14512634277344</v>
      </c>
      <c r="M13" s="1">
        <v>-64.404525756835938</v>
      </c>
      <c r="P13" s="1">
        <v>839.89642333984375</v>
      </c>
      <c r="Q13" s="1">
        <v>1830.3046875</v>
      </c>
      <c r="R13" s="1">
        <v>4082.8955078125</v>
      </c>
      <c r="V13" s="3">
        <v>11</v>
      </c>
      <c r="W13" s="1">
        <f t="shared" si="0"/>
        <v>2970.290812174479</v>
      </c>
      <c r="X13" s="1">
        <f t="shared" si="1"/>
        <v>703.73611577351892</v>
      </c>
      <c r="Y13" s="1">
        <f t="shared" si="2"/>
        <v>-97.185990651448563</v>
      </c>
      <c r="Z13" s="1">
        <f t="shared" si="3"/>
        <v>1056.1384684244792</v>
      </c>
      <c r="AA13" s="1">
        <f t="shared" si="4"/>
        <v>1841.4027913411458</v>
      </c>
      <c r="AB13" s="1">
        <f t="shared" si="5"/>
        <v>-230.83684031168619</v>
      </c>
      <c r="AC13" s="1">
        <f t="shared" si="6"/>
        <v>172.05583190917969</v>
      </c>
      <c r="AD13" s="1">
        <f t="shared" si="7"/>
        <v>-33.322599411010742</v>
      </c>
    </row>
    <row r="14" spans="1:30">
      <c r="A14" s="1">
        <v>8706.203125</v>
      </c>
      <c r="B14" s="1">
        <v>14143.7421875</v>
      </c>
      <c r="C14" s="1">
        <v>7171.54296875</v>
      </c>
      <c r="F14" s="1">
        <v>6412.84619140625</v>
      </c>
      <c r="G14" s="1">
        <v>4254.109375</v>
      </c>
      <c r="H14" s="1">
        <v>6582.81689453125</v>
      </c>
      <c r="K14" s="1">
        <v>-0.90508836507797241</v>
      </c>
      <c r="L14" s="1">
        <v>243.25408935546875</v>
      </c>
      <c r="M14" s="1">
        <v>544.6158447265625</v>
      </c>
      <c r="P14" s="1">
        <v>3709.530029296875</v>
      </c>
      <c r="Q14" s="1">
        <v>4150.7001953125</v>
      </c>
      <c r="R14" s="1">
        <v>7210.0556640625</v>
      </c>
      <c r="V14" s="3">
        <v>12</v>
      </c>
      <c r="W14" s="1">
        <f t="shared" si="0"/>
        <v>5100.12890625</v>
      </c>
      <c r="X14" s="1">
        <f t="shared" si="1"/>
        <v>2552.8717041015625</v>
      </c>
      <c r="Y14" s="1">
        <f t="shared" si="2"/>
        <v>-19.449757893880207</v>
      </c>
      <c r="Z14" s="1">
        <f t="shared" si="3"/>
        <v>2251.0322062174478</v>
      </c>
      <c r="AA14" s="1">
        <f t="shared" si="4"/>
        <v>1470.2827962239583</v>
      </c>
      <c r="AB14" s="1">
        <f t="shared" si="5"/>
        <v>-42.662953694661461</v>
      </c>
      <c r="AC14" s="1">
        <f t="shared" si="6"/>
        <v>63.625055948893227</v>
      </c>
      <c r="AD14" s="1">
        <f t="shared" si="7"/>
        <v>-173.24636459350586</v>
      </c>
    </row>
    <row r="15" spans="1:30">
      <c r="A15" s="1">
        <v>17527.240234375</v>
      </c>
      <c r="B15" s="1">
        <v>22255.6484375</v>
      </c>
      <c r="C15" s="1">
        <v>16576.267578125</v>
      </c>
      <c r="F15" s="1">
        <v>12244.0966796875</v>
      </c>
      <c r="G15" s="1">
        <v>9764.8583984375</v>
      </c>
      <c r="H15" s="1">
        <v>11220.310546875</v>
      </c>
      <c r="K15" s="1">
        <v>-91.066001892089844</v>
      </c>
      <c r="L15" s="1">
        <v>181.60525512695313</v>
      </c>
      <c r="M15" s="1">
        <v>356.32766723632813</v>
      </c>
      <c r="P15" s="1">
        <v>8521.171875</v>
      </c>
      <c r="Q15" s="1">
        <v>8417.884765625</v>
      </c>
      <c r="R15" s="1">
        <v>11569.85546875</v>
      </c>
      <c r="V15" s="3">
        <v>13</v>
      </c>
      <c r="W15" s="1">
        <f t="shared" si="0"/>
        <v>10007.162760416666</v>
      </c>
      <c r="X15" s="1">
        <f t="shared" si="1"/>
        <v>5749.924153645833</v>
      </c>
      <c r="Y15" s="1">
        <f t="shared" si="2"/>
        <v>262.32161523898441</v>
      </c>
      <c r="Z15" s="1">
        <f t="shared" si="3"/>
        <v>5023.428629557292</v>
      </c>
      <c r="AA15" s="1">
        <f t="shared" si="4"/>
        <v>1246.2122802734375</v>
      </c>
      <c r="AB15" s="1">
        <f t="shared" si="5"/>
        <v>-163.31979624430338</v>
      </c>
      <c r="AC15" s="1">
        <f t="shared" si="6"/>
        <v>142.61747233072916</v>
      </c>
      <c r="AD15" s="1">
        <f t="shared" si="7"/>
        <v>34.194459279378258</v>
      </c>
    </row>
    <row r="16" spans="1:30">
      <c r="A16" s="1">
        <v>35960.6640625</v>
      </c>
      <c r="B16" s="1">
        <v>38059.19140625</v>
      </c>
      <c r="C16" s="1">
        <v>34671.28125</v>
      </c>
      <c r="F16" s="1">
        <v>24394.58984375</v>
      </c>
      <c r="G16" s="1">
        <v>20104.576171875</v>
      </c>
      <c r="H16" s="1">
        <v>21101.7109375</v>
      </c>
      <c r="K16" s="1">
        <v>-365.30502319335938</v>
      </c>
      <c r="L16" s="1">
        <v>354.0579833984375</v>
      </c>
      <c r="M16" s="1">
        <v>-312.32772827148438</v>
      </c>
      <c r="P16" s="1">
        <v>19531.296875</v>
      </c>
      <c r="Q16" s="1">
        <v>16638.625</v>
      </c>
      <c r="R16" s="1">
        <v>20200.9609375</v>
      </c>
      <c r="V16" s="3">
        <v>14</v>
      </c>
      <c r="W16" s="1">
        <f t="shared" si="0"/>
        <v>18786.385416666668</v>
      </c>
      <c r="X16" s="1">
        <f t="shared" si="1"/>
        <v>11076.421875</v>
      </c>
      <c r="Y16" s="1">
        <f t="shared" si="2"/>
        <v>148.95564015706381</v>
      </c>
      <c r="Z16" s="1">
        <f t="shared" si="3"/>
        <v>9502.970703125</v>
      </c>
      <c r="AA16" s="1">
        <f t="shared" si="4"/>
        <v>1403.2250569661458</v>
      </c>
      <c r="AB16" s="1">
        <f t="shared" si="5"/>
        <v>-36.89068603515625</v>
      </c>
      <c r="AC16" s="1">
        <f t="shared" si="6"/>
        <v>-166.25860595703125</v>
      </c>
      <c r="AD16" s="1">
        <f t="shared" si="7"/>
        <v>-154.84128252665201</v>
      </c>
    </row>
    <row r="17" spans="1:30">
      <c r="A17" s="1">
        <v>69897.7109375</v>
      </c>
      <c r="B17" s="1">
        <v>64722.48046875</v>
      </c>
      <c r="C17" s="1">
        <v>68494.328125</v>
      </c>
      <c r="F17" s="1">
        <v>45508.48046875</v>
      </c>
      <c r="G17" s="1">
        <v>38287.35546875</v>
      </c>
      <c r="H17" s="1">
        <v>37624.0546875</v>
      </c>
      <c r="K17" s="1">
        <v>-188.1143798828125</v>
      </c>
      <c r="L17" s="1">
        <v>688.95013427734375</v>
      </c>
      <c r="M17" s="1">
        <v>-424.56515502929688</v>
      </c>
      <c r="P17" s="1">
        <v>40005.078125</v>
      </c>
      <c r="Q17" s="1">
        <v>32170.30859375</v>
      </c>
      <c r="R17" s="1">
        <v>36148.06640625</v>
      </c>
      <c r="V17" s="3">
        <v>15</v>
      </c>
      <c r="W17" s="1">
        <f t="shared" si="0"/>
        <v>36230.37890625</v>
      </c>
      <c r="X17" s="1">
        <f t="shared" si="1"/>
        <v>21866.958984375</v>
      </c>
      <c r="Y17" s="1">
        <f t="shared" si="2"/>
        <v>-107.85825602213542</v>
      </c>
      <c r="Z17" s="1">
        <f t="shared" si="3"/>
        <v>18790.294270833332</v>
      </c>
      <c r="AA17" s="1">
        <f t="shared" si="4"/>
        <v>861.96958414713538</v>
      </c>
      <c r="AB17" s="1">
        <f t="shared" si="5"/>
        <v>-194.22200806935629</v>
      </c>
      <c r="AC17" s="1">
        <f t="shared" si="6"/>
        <v>-198.97714233398438</v>
      </c>
      <c r="AD17" s="1">
        <f t="shared" si="7"/>
        <v>-296.32753372192383</v>
      </c>
    </row>
    <row r="18" spans="1:30">
      <c r="A18" s="1">
        <v>125710.109375</v>
      </c>
      <c r="B18" s="1">
        <v>108528.953125</v>
      </c>
      <c r="C18" s="1">
        <v>124943.59375</v>
      </c>
      <c r="F18" s="1">
        <v>81626.59375</v>
      </c>
      <c r="G18" s="1">
        <v>67670.375</v>
      </c>
      <c r="H18" s="1">
        <v>66514.921875</v>
      </c>
      <c r="K18" s="1">
        <v>824.0626220703125</v>
      </c>
      <c r="L18" s="1">
        <v>452.89700317382813</v>
      </c>
      <c r="M18" s="1">
        <v>102.86150360107422</v>
      </c>
      <c r="P18" s="1">
        <v>75443.1328125</v>
      </c>
      <c r="Q18" s="1">
        <v>58540.3046875</v>
      </c>
      <c r="R18" s="1">
        <v>61353.625</v>
      </c>
      <c r="V18" s="3">
        <v>16</v>
      </c>
      <c r="W18" s="1">
        <f t="shared" si="0"/>
        <v>67704.83984375</v>
      </c>
      <c r="X18" s="1">
        <f t="shared" si="1"/>
        <v>40473.296875</v>
      </c>
      <c r="Y18" s="1">
        <f t="shared" si="2"/>
        <v>25.423533121744793</v>
      </c>
      <c r="Z18" s="1">
        <f t="shared" si="3"/>
        <v>36107.817708333336</v>
      </c>
      <c r="AA18" s="1">
        <f t="shared" si="4"/>
        <v>234.81049601236978</v>
      </c>
      <c r="AB18" s="1">
        <f t="shared" si="5"/>
        <v>-246.46477762858072</v>
      </c>
      <c r="AC18" s="1">
        <f t="shared" si="6"/>
        <v>336.28089841206867</v>
      </c>
      <c r="AD18" s="1">
        <f t="shared" si="7"/>
        <v>-329.605473836263</v>
      </c>
    </row>
    <row r="19" spans="1:30">
      <c r="A19" s="1">
        <v>205091.203125</v>
      </c>
      <c r="B19" s="1">
        <v>166429.203125</v>
      </c>
      <c r="C19" s="1">
        <v>205510.34375</v>
      </c>
      <c r="F19" s="1">
        <v>133311.609375</v>
      </c>
      <c r="G19" s="1">
        <v>107977.4765625</v>
      </c>
      <c r="H19" s="1">
        <v>106035.0390625</v>
      </c>
      <c r="K19" s="1">
        <v>419.09893798828125</v>
      </c>
      <c r="L19" s="1">
        <v>-416.5213623046875</v>
      </c>
      <c r="M19" s="1">
        <v>145.33892822265625</v>
      </c>
      <c r="P19" s="1">
        <v>128245.03125</v>
      </c>
      <c r="Q19" s="1">
        <v>97515.6640625</v>
      </c>
      <c r="R19" s="1">
        <v>97395.9609375</v>
      </c>
      <c r="V19" s="3">
        <v>17</v>
      </c>
      <c r="W19" s="1">
        <f t="shared" si="0"/>
        <v>119727.55208333333</v>
      </c>
      <c r="X19" s="1">
        <f t="shared" si="1"/>
        <v>71937.296875</v>
      </c>
      <c r="Y19" s="1">
        <f t="shared" si="2"/>
        <v>459.94037628173828</v>
      </c>
      <c r="Z19" s="1">
        <f t="shared" si="3"/>
        <v>65112.354166666664</v>
      </c>
      <c r="AA19" s="1">
        <f t="shared" si="4"/>
        <v>-28.502227783203125</v>
      </c>
      <c r="AB19" s="1">
        <f t="shared" si="5"/>
        <v>181.28984578450522</v>
      </c>
      <c r="AC19" s="1">
        <f t="shared" si="6"/>
        <v>150.40351359049478</v>
      </c>
      <c r="AD19" s="1">
        <f t="shared" si="7"/>
        <v>-309.55787658691406</v>
      </c>
    </row>
    <row r="20" spans="1:30">
      <c r="A20" s="1">
        <v>298046.46875</v>
      </c>
      <c r="B20" s="1">
        <v>227191.078125</v>
      </c>
      <c r="C20" s="1">
        <v>298356.625</v>
      </c>
      <c r="F20" s="1">
        <v>193991.0625</v>
      </c>
      <c r="G20" s="1">
        <v>154885.671875</v>
      </c>
      <c r="H20" s="1">
        <v>152131.78125</v>
      </c>
      <c r="K20" s="1">
        <v>163.19975280761719</v>
      </c>
      <c r="L20" s="1">
        <v>-575.77178955078125</v>
      </c>
      <c r="M20" s="1">
        <v>181.69134521484375</v>
      </c>
      <c r="P20" s="1">
        <v>190758.0625</v>
      </c>
      <c r="Q20" s="1">
        <v>144082.984375</v>
      </c>
      <c r="R20" s="1">
        <v>140303.390625</v>
      </c>
      <c r="V20" s="3">
        <v>18</v>
      </c>
      <c r="W20" s="1">
        <f t="shared" si="0"/>
        <v>192343.58333333334</v>
      </c>
      <c r="X20" s="1">
        <f t="shared" si="1"/>
        <v>115774.70833333333</v>
      </c>
      <c r="Y20" s="1">
        <f t="shared" si="2"/>
        <v>49.305501302083336</v>
      </c>
      <c r="Z20" s="1">
        <f t="shared" si="3"/>
        <v>107718.88541666667</v>
      </c>
      <c r="AA20" s="1">
        <f t="shared" si="4"/>
        <v>-10.656102498372396</v>
      </c>
      <c r="AB20" s="1">
        <f t="shared" si="5"/>
        <v>322.8621775309245</v>
      </c>
      <c r="AC20" s="1">
        <f t="shared" si="6"/>
        <v>-26.122304280598957</v>
      </c>
      <c r="AD20" s="1">
        <f t="shared" si="7"/>
        <v>-164.48684438069662</v>
      </c>
    </row>
    <row r="21" spans="1:30">
      <c r="A21" s="1">
        <v>384847.65625</v>
      </c>
      <c r="B21" s="1">
        <v>283664.78125</v>
      </c>
      <c r="C21" s="1">
        <v>387875.46875</v>
      </c>
      <c r="F21" s="1">
        <v>253765.515625</v>
      </c>
      <c r="G21" s="1">
        <v>202805.5625</v>
      </c>
      <c r="H21" s="1">
        <v>198775.828125</v>
      </c>
      <c r="K21" s="1">
        <v>180.12088012695313</v>
      </c>
      <c r="L21" s="1">
        <v>-14.031947135925293</v>
      </c>
      <c r="M21" s="1">
        <v>128.51643371582031</v>
      </c>
      <c r="P21" s="1">
        <v>253659.796875</v>
      </c>
      <c r="Q21" s="1">
        <v>191980.6875</v>
      </c>
      <c r="R21" s="1">
        <v>183110.265625</v>
      </c>
      <c r="V21" s="3">
        <v>19</v>
      </c>
      <c r="W21" s="1">
        <f t="shared" si="0"/>
        <v>274531.390625</v>
      </c>
      <c r="X21" s="1">
        <f t="shared" si="1"/>
        <v>167002.83854166666</v>
      </c>
      <c r="Y21" s="1">
        <f t="shared" si="2"/>
        <v>-76.960230509440109</v>
      </c>
      <c r="Z21" s="1">
        <f t="shared" si="3"/>
        <v>158381.47916666666</v>
      </c>
      <c r="AA21" s="1">
        <f t="shared" si="4"/>
        <v>-297.14852905273438</v>
      </c>
      <c r="AB21" s="1">
        <f t="shared" si="5"/>
        <v>339.48397850990295</v>
      </c>
      <c r="AC21" s="1">
        <f t="shared" si="6"/>
        <v>152.73988850911459</v>
      </c>
      <c r="AD21" s="1">
        <f t="shared" si="7"/>
        <v>-54.168419202168785</v>
      </c>
    </row>
    <row r="22" spans="1:30">
      <c r="A22" s="1">
        <v>460613.34375</v>
      </c>
      <c r="B22" s="1">
        <v>330755.75</v>
      </c>
      <c r="C22" s="1">
        <v>465494.59375</v>
      </c>
      <c r="F22" s="1">
        <v>308711.0625</v>
      </c>
      <c r="G22" s="1">
        <v>248706.09375</v>
      </c>
      <c r="H22" s="1">
        <v>242791.640625</v>
      </c>
      <c r="K22" s="1">
        <v>475.1669921875</v>
      </c>
      <c r="L22" s="1">
        <v>475.9949951171875</v>
      </c>
      <c r="M22" s="1">
        <v>253.43135070800781</v>
      </c>
      <c r="P22" s="1">
        <v>312230.59375</v>
      </c>
      <c r="Q22" s="1">
        <v>236392.46875</v>
      </c>
      <c r="R22" s="1">
        <v>223731.671875</v>
      </c>
      <c r="V22" s="3">
        <v>20</v>
      </c>
      <c r="W22" s="1">
        <f t="shared" si="0"/>
        <v>352129.30208333331</v>
      </c>
      <c r="X22" s="1">
        <f t="shared" si="1"/>
        <v>218448.96875</v>
      </c>
      <c r="Y22" s="1">
        <f t="shared" si="2"/>
        <v>98.201788902282715</v>
      </c>
      <c r="Z22" s="1">
        <f t="shared" si="3"/>
        <v>209583.58333333334</v>
      </c>
      <c r="AA22" s="1">
        <f t="shared" si="4"/>
        <v>-388.07323201497394</v>
      </c>
      <c r="AB22" s="1">
        <f t="shared" si="5"/>
        <v>1088.4547271728516</v>
      </c>
      <c r="AC22" s="1">
        <f t="shared" si="6"/>
        <v>77.48883056640625</v>
      </c>
      <c r="AD22" s="1">
        <f t="shared" si="7"/>
        <v>187.26198577880859</v>
      </c>
    </row>
    <row r="23" spans="1:30">
      <c r="A23" s="1">
        <v>523446.3125</v>
      </c>
      <c r="B23" s="1">
        <v>368420.0625</v>
      </c>
      <c r="C23" s="1">
        <v>531272.875</v>
      </c>
      <c r="F23" s="1">
        <v>355969.0625</v>
      </c>
      <c r="G23" s="1">
        <v>289504.3125</v>
      </c>
      <c r="H23" s="1">
        <v>283132.875</v>
      </c>
      <c r="K23" s="1">
        <v>620.508056640625</v>
      </c>
      <c r="L23" s="1">
        <v>-64.175338745117188</v>
      </c>
      <c r="M23" s="1">
        <v>316.88534545898438</v>
      </c>
      <c r="P23" s="1">
        <v>363128.09375</v>
      </c>
      <c r="Q23" s="1">
        <v>276044.53125</v>
      </c>
      <c r="R23" s="1">
        <v>259990.171875</v>
      </c>
      <c r="V23" s="3">
        <v>21</v>
      </c>
      <c r="W23" s="1">
        <f t="shared" si="0"/>
        <v>418954.5625</v>
      </c>
      <c r="X23" s="1">
        <f t="shared" si="1"/>
        <v>266736.265625</v>
      </c>
      <c r="Y23" s="1">
        <f t="shared" si="2"/>
        <v>401.53111267089844</v>
      </c>
      <c r="Z23" s="1">
        <f t="shared" si="3"/>
        <v>257451.578125</v>
      </c>
      <c r="AA23" s="1">
        <f t="shared" si="4"/>
        <v>-807.89896647135413</v>
      </c>
      <c r="AB23" s="1">
        <f t="shared" si="5"/>
        <v>1496.7900899251301</v>
      </c>
      <c r="AC23" s="1">
        <f t="shared" si="6"/>
        <v>-5.7466341654459638</v>
      </c>
      <c r="AD23" s="1">
        <f t="shared" si="7"/>
        <v>107.60384623209636</v>
      </c>
    </row>
    <row r="24" spans="1:30">
      <c r="A24" s="1">
        <v>573157</v>
      </c>
      <c r="B24" s="1">
        <v>398717.375</v>
      </c>
      <c r="C24" s="1">
        <v>584993.25</v>
      </c>
      <c r="F24" s="1">
        <v>396028.6875</v>
      </c>
      <c r="G24" s="1">
        <v>325070.28125</v>
      </c>
      <c r="H24" s="1">
        <v>318145.375</v>
      </c>
      <c r="K24" s="1">
        <v>12.243612289428711</v>
      </c>
      <c r="L24" s="1">
        <v>-410.21481323242188</v>
      </c>
      <c r="M24" s="1">
        <v>621.60498046875</v>
      </c>
      <c r="P24" s="1">
        <v>406148.25</v>
      </c>
      <c r="Q24" s="1">
        <v>310607.8125</v>
      </c>
      <c r="R24" s="1">
        <v>290870.59375</v>
      </c>
      <c r="V24" s="3">
        <v>22</v>
      </c>
      <c r="W24" s="1">
        <f t="shared" si="0"/>
        <v>474379.75</v>
      </c>
      <c r="X24" s="1">
        <f t="shared" si="1"/>
        <v>309535.41666666669</v>
      </c>
      <c r="Y24" s="1">
        <f t="shared" si="2"/>
        <v>291.07268778483075</v>
      </c>
      <c r="Z24" s="1">
        <f t="shared" si="3"/>
        <v>299720.93229166669</v>
      </c>
      <c r="AA24" s="1">
        <f t="shared" si="4"/>
        <v>-981.7794087727865</v>
      </c>
      <c r="AB24" s="1">
        <f t="shared" si="5"/>
        <v>1864.0759785970051</v>
      </c>
      <c r="AC24" s="1">
        <f t="shared" si="6"/>
        <v>-105.16177757581075</v>
      </c>
      <c r="AD24" s="1">
        <f t="shared" si="7"/>
        <v>102.69831848144531</v>
      </c>
    </row>
    <row r="25" spans="1:30">
      <c r="A25" s="1">
        <v>611768.5625</v>
      </c>
      <c r="B25" s="1">
        <v>421815.21875</v>
      </c>
      <c r="C25" s="1">
        <v>628745.125</v>
      </c>
      <c r="F25" s="1">
        <v>428969.09375</v>
      </c>
      <c r="G25" s="1">
        <v>355227.90625</v>
      </c>
      <c r="H25" s="1">
        <v>348778.96875</v>
      </c>
      <c r="K25" s="1">
        <v>-82.50323486328125</v>
      </c>
      <c r="L25" s="1">
        <v>-257.5218505859375</v>
      </c>
      <c r="M25" s="1">
        <v>-225.23011779785156</v>
      </c>
      <c r="P25" s="1">
        <v>441796.21875</v>
      </c>
      <c r="Q25" s="1">
        <v>339919.9375</v>
      </c>
      <c r="R25" s="1">
        <v>318113.3125</v>
      </c>
      <c r="V25" s="3">
        <v>23</v>
      </c>
      <c r="W25" s="1">
        <f t="shared" si="0"/>
        <v>518955.875</v>
      </c>
      <c r="X25" s="1">
        <f t="shared" si="1"/>
        <v>346414.78125</v>
      </c>
      <c r="Y25" s="1">
        <f t="shared" si="2"/>
        <v>74.544593175252274</v>
      </c>
      <c r="Z25" s="1">
        <f t="shared" si="3"/>
        <v>335875.55208333331</v>
      </c>
      <c r="AA25" s="1">
        <f t="shared" si="4"/>
        <v>-872.47239685058594</v>
      </c>
      <c r="AB25" s="1">
        <f t="shared" si="5"/>
        <v>2259.8696899414063</v>
      </c>
      <c r="AC25" s="1">
        <f t="shared" si="6"/>
        <v>-160.72405497233072</v>
      </c>
      <c r="AD25" s="1">
        <f t="shared" si="7"/>
        <v>234.06621805826822</v>
      </c>
    </row>
    <row r="26" spans="1:30">
      <c r="A26" s="1">
        <v>643890.75</v>
      </c>
      <c r="B26" s="1">
        <v>440040.28125</v>
      </c>
      <c r="C26" s="1">
        <v>663792.5625</v>
      </c>
      <c r="F26" s="1">
        <v>455418.125</v>
      </c>
      <c r="G26" s="1">
        <v>381113.625</v>
      </c>
      <c r="H26" s="1">
        <v>374046.03125</v>
      </c>
      <c r="K26" s="1">
        <v>270.21084594726563</v>
      </c>
      <c r="L26" s="1">
        <v>634.27655029296875</v>
      </c>
      <c r="M26" s="1">
        <v>-472.737060546875</v>
      </c>
      <c r="P26" s="1">
        <v>471661</v>
      </c>
      <c r="Q26" s="1">
        <v>364869.15625</v>
      </c>
      <c r="R26" s="1">
        <v>341012.90625</v>
      </c>
      <c r="V26" s="3">
        <v>24</v>
      </c>
      <c r="W26" s="1">
        <f t="shared" si="0"/>
        <v>554109.63541666663</v>
      </c>
      <c r="X26" s="1">
        <f t="shared" si="1"/>
        <v>377658.65625</v>
      </c>
      <c r="Y26" s="1">
        <f t="shared" si="2"/>
        <v>-188.41840108235678</v>
      </c>
      <c r="Z26" s="1">
        <f t="shared" si="3"/>
        <v>366609.82291666669</v>
      </c>
      <c r="AA26" s="1">
        <f t="shared" si="4"/>
        <v>-566.54032135009766</v>
      </c>
      <c r="AB26" s="1">
        <f t="shared" si="5"/>
        <v>2689.0851236979165</v>
      </c>
      <c r="AC26" s="1">
        <f t="shared" si="6"/>
        <v>-98.256378173828125</v>
      </c>
      <c r="AD26" s="1">
        <f t="shared" si="7"/>
        <v>352.1658935546875</v>
      </c>
    </row>
    <row r="27" spans="1:30">
      <c r="A27" s="1">
        <v>668432.8125</v>
      </c>
      <c r="B27" s="1">
        <v>454967.4375</v>
      </c>
      <c r="C27" s="1">
        <v>690972</v>
      </c>
      <c r="F27" s="1">
        <v>477096.5625</v>
      </c>
      <c r="G27" s="1">
        <v>402780.1875</v>
      </c>
      <c r="H27" s="1">
        <v>396543.3125</v>
      </c>
      <c r="K27" s="1">
        <v>-236.72154235839844</v>
      </c>
      <c r="L27" s="1">
        <v>208.30937194824219</v>
      </c>
      <c r="M27" s="1">
        <v>-148.3338623046875</v>
      </c>
      <c r="P27" s="1">
        <v>496093.125</v>
      </c>
      <c r="Q27" s="1">
        <v>385576</v>
      </c>
      <c r="R27" s="1">
        <v>362070.875</v>
      </c>
      <c r="V27" s="3">
        <v>25</v>
      </c>
      <c r="W27" s="1">
        <f t="shared" si="0"/>
        <v>582574.53125</v>
      </c>
      <c r="X27" s="1">
        <f t="shared" si="1"/>
        <v>403525.92708333331</v>
      </c>
      <c r="Y27" s="1">
        <f t="shared" si="2"/>
        <v>143.91677856445313</v>
      </c>
      <c r="Z27" s="1">
        <f t="shared" si="3"/>
        <v>392514.35416666669</v>
      </c>
      <c r="AA27" s="1">
        <f t="shared" si="4"/>
        <v>-956.93898518880212</v>
      </c>
      <c r="AB27" s="1">
        <f t="shared" si="5"/>
        <v>3293.313761393229</v>
      </c>
      <c r="AC27" s="1">
        <f t="shared" si="6"/>
        <v>-187.02179463704428</v>
      </c>
      <c r="AD27" s="1">
        <f t="shared" si="7"/>
        <v>272.0650583902995</v>
      </c>
    </row>
    <row r="28" spans="1:30">
      <c r="A28" s="1">
        <v>687437.5</v>
      </c>
      <c r="B28" s="1">
        <v>464859.34375</v>
      </c>
      <c r="C28" s="1">
        <v>714305.5</v>
      </c>
      <c r="F28" s="1">
        <v>494518.125</v>
      </c>
      <c r="G28" s="1">
        <v>420343.34375</v>
      </c>
      <c r="H28" s="1">
        <v>414875.84375</v>
      </c>
      <c r="K28" s="1">
        <v>-368.6363525390625</v>
      </c>
      <c r="L28" s="1">
        <v>-90.376579284667969</v>
      </c>
      <c r="M28" s="1">
        <v>-125.8486328125</v>
      </c>
      <c r="P28" s="1">
        <v>516119.15625</v>
      </c>
      <c r="Q28" s="1">
        <v>402661.78125</v>
      </c>
      <c r="R28" s="1">
        <v>379991.28125</v>
      </c>
      <c r="V28" s="3">
        <v>26</v>
      </c>
      <c r="W28" s="1">
        <f t="shared" si="0"/>
        <v>604790.75</v>
      </c>
      <c r="X28" s="1">
        <f t="shared" si="1"/>
        <v>425473.35416666669</v>
      </c>
      <c r="Y28" s="1">
        <f t="shared" si="2"/>
        <v>-58.91534423828125</v>
      </c>
      <c r="Z28" s="1">
        <f t="shared" si="3"/>
        <v>414580</v>
      </c>
      <c r="AA28" s="1">
        <f t="shared" si="4"/>
        <v>-777.41838582356775</v>
      </c>
      <c r="AB28" s="1">
        <f t="shared" si="5"/>
        <v>4084.867919921875</v>
      </c>
      <c r="AC28" s="1">
        <f t="shared" si="6"/>
        <v>-424.48771540323895</v>
      </c>
      <c r="AD28" s="1">
        <f t="shared" si="7"/>
        <v>656.24806722005212</v>
      </c>
    </row>
    <row r="29" spans="1:30">
      <c r="A29" s="1">
        <v>703649.0625</v>
      </c>
      <c r="B29" s="1">
        <v>473370.375</v>
      </c>
      <c r="C29" s="1">
        <v>732182.5625</v>
      </c>
      <c r="F29" s="1">
        <v>508111.09375</v>
      </c>
      <c r="G29" s="1">
        <v>435843.3125</v>
      </c>
      <c r="H29" s="1">
        <v>431063.59375</v>
      </c>
      <c r="K29" s="1">
        <v>-253.66641235351563</v>
      </c>
      <c r="L29" s="1">
        <v>-310.68948364257813</v>
      </c>
      <c r="M29" s="1">
        <v>-17.511831283569336</v>
      </c>
      <c r="P29" s="1">
        <v>533809.125</v>
      </c>
      <c r="Q29" s="1">
        <v>417768.25</v>
      </c>
      <c r="R29" s="1">
        <v>395433.125</v>
      </c>
      <c r="V29" s="3">
        <v>27</v>
      </c>
      <c r="W29" s="1">
        <f t="shared" si="0"/>
        <v>622200.78125</v>
      </c>
      <c r="X29" s="1">
        <f t="shared" si="1"/>
        <v>443245.77083333331</v>
      </c>
      <c r="Y29" s="1">
        <f t="shared" si="2"/>
        <v>-194.9538548787435</v>
      </c>
      <c r="Z29" s="1">
        <f t="shared" si="3"/>
        <v>432924.07291666669</v>
      </c>
      <c r="AA29" s="1">
        <f t="shared" si="4"/>
        <v>-580.73112042744958</v>
      </c>
      <c r="AB29" s="1">
        <f t="shared" si="5"/>
        <v>4560.015706380208</v>
      </c>
      <c r="AC29" s="1">
        <f t="shared" si="6"/>
        <v>-163.54349009195963</v>
      </c>
      <c r="AD29" s="1">
        <f t="shared" si="7"/>
        <v>1035.319112141927</v>
      </c>
    </row>
    <row r="30" spans="1:30">
      <c r="A30" s="1">
        <v>717389</v>
      </c>
      <c r="B30" s="1">
        <v>479910.90625</v>
      </c>
      <c r="C30" s="1">
        <v>747342.0625</v>
      </c>
      <c r="F30" s="1">
        <v>519640.90625</v>
      </c>
      <c r="G30" s="1">
        <v>448112.625</v>
      </c>
      <c r="H30" s="1">
        <v>445040.375</v>
      </c>
      <c r="K30" s="1">
        <v>-808.90155029296875</v>
      </c>
      <c r="L30" s="1">
        <v>-238.24653625488281</v>
      </c>
      <c r="M30" s="1">
        <v>47.606220245361328</v>
      </c>
      <c r="P30" s="1">
        <v>548306.8125</v>
      </c>
      <c r="Q30" s="1">
        <v>429680.3125</v>
      </c>
      <c r="R30" s="1">
        <v>408237.65625</v>
      </c>
      <c r="V30" s="3">
        <v>28</v>
      </c>
      <c r="W30" s="1">
        <f t="shared" si="0"/>
        <v>636400.66666666663</v>
      </c>
      <c r="X30" s="1">
        <f t="shared" si="1"/>
        <v>458339.33333333331</v>
      </c>
      <c r="Y30" s="1">
        <f t="shared" si="2"/>
        <v>-193.95590909322104</v>
      </c>
      <c r="Z30" s="1">
        <f t="shared" si="3"/>
        <v>449003.5</v>
      </c>
      <c r="AA30" s="1">
        <f t="shared" si="4"/>
        <v>130.22438557942709</v>
      </c>
      <c r="AB30" s="1">
        <f t="shared" si="5"/>
        <v>5268.304280598958</v>
      </c>
      <c r="AC30" s="1">
        <f t="shared" si="6"/>
        <v>60.701532999674477</v>
      </c>
      <c r="AD30" s="1">
        <f t="shared" si="7"/>
        <v>2006.0203857421875</v>
      </c>
    </row>
    <row r="31" spans="1:30">
      <c r="A31" s="1">
        <v>727345.25</v>
      </c>
      <c r="B31" s="1">
        <v>484351.5</v>
      </c>
      <c r="C31" s="1">
        <v>758750.625</v>
      </c>
      <c r="F31" s="1">
        <v>528839</v>
      </c>
      <c r="G31" s="1">
        <v>458925.03125</v>
      </c>
      <c r="H31" s="1">
        <v>455649.03125</v>
      </c>
      <c r="K31" s="1">
        <v>-693.85345458984375</v>
      </c>
      <c r="L31" s="1">
        <v>391.0889892578125</v>
      </c>
      <c r="M31" s="1">
        <v>463.46646118164063</v>
      </c>
      <c r="P31" s="1">
        <v>560818.625</v>
      </c>
      <c r="Q31" s="1">
        <v>440918.09375</v>
      </c>
      <c r="R31" s="1">
        <v>420012.09375</v>
      </c>
      <c r="V31" s="3">
        <v>29</v>
      </c>
      <c r="W31" s="1">
        <f t="shared" si="0"/>
        <v>648213.98958333337</v>
      </c>
      <c r="X31" s="1">
        <f t="shared" si="1"/>
        <v>470931.30208333331</v>
      </c>
      <c r="Y31" s="1">
        <f t="shared" si="2"/>
        <v>-333.18062210083008</v>
      </c>
      <c r="Z31" s="1">
        <f t="shared" si="3"/>
        <v>462074.92708333331</v>
      </c>
      <c r="AA31" s="1">
        <f t="shared" si="4"/>
        <v>2375.908976236979</v>
      </c>
      <c r="AB31" s="1">
        <f t="shared" si="5"/>
        <v>6202.040690104167</v>
      </c>
      <c r="AC31" s="1">
        <f t="shared" si="6"/>
        <v>-16.782620747884113</v>
      </c>
      <c r="AD31" s="1">
        <f t="shared" si="7"/>
        <v>3244.0314127604165</v>
      </c>
    </row>
    <row r="32" spans="1:30">
      <c r="A32" s="1">
        <v>733156.8125</v>
      </c>
      <c r="B32" s="1">
        <v>487443.03125</v>
      </c>
      <c r="C32" s="1">
        <v>768431.875</v>
      </c>
      <c r="F32" s="1">
        <v>535617.9375</v>
      </c>
      <c r="G32" s="1">
        <v>468285.3125</v>
      </c>
      <c r="H32" s="1">
        <v>465760.15625</v>
      </c>
      <c r="K32" s="1">
        <v>250.10867309570313</v>
      </c>
      <c r="L32" s="1">
        <v>83.281951904296875</v>
      </c>
      <c r="M32" s="1">
        <v>63.424350738525391</v>
      </c>
      <c r="P32" s="1">
        <v>571196.75</v>
      </c>
      <c r="Q32" s="1">
        <v>449710.9375</v>
      </c>
      <c r="R32" s="1">
        <v>429888.3125</v>
      </c>
      <c r="V32" s="3">
        <v>30</v>
      </c>
      <c r="W32" s="1">
        <f t="shared" si="0"/>
        <v>656815.79166666663</v>
      </c>
      <c r="X32" s="1">
        <f t="shared" si="1"/>
        <v>481137.6875</v>
      </c>
      <c r="Y32" s="1">
        <f t="shared" si="2"/>
        <v>53.567331949869789</v>
      </c>
      <c r="Z32" s="1">
        <f t="shared" si="3"/>
        <v>473916.27083333331</v>
      </c>
      <c r="AA32" s="1">
        <f t="shared" si="4"/>
        <v>7136.137939453125</v>
      </c>
      <c r="AB32" s="1">
        <f t="shared" si="5"/>
        <v>7311.22216796875</v>
      </c>
      <c r="AC32" s="1">
        <f t="shared" si="6"/>
        <v>64.073064168294266</v>
      </c>
      <c r="AD32" s="1">
        <f t="shared" si="7"/>
        <v>5864.8916015625</v>
      </c>
    </row>
    <row r="33" spans="1:30">
      <c r="A33" s="1">
        <v>737408.4375</v>
      </c>
      <c r="B33" s="1">
        <v>490008.25</v>
      </c>
      <c r="C33" s="1">
        <v>774497.8125</v>
      </c>
      <c r="F33" s="1">
        <v>540759.875</v>
      </c>
      <c r="G33" s="1">
        <v>476064.09375</v>
      </c>
      <c r="H33" s="1">
        <v>474483.875</v>
      </c>
      <c r="K33" s="1">
        <v>103.35791015625</v>
      </c>
      <c r="L33" s="1">
        <v>-88.984077453613281</v>
      </c>
      <c r="M33" s="1">
        <v>-493.36386108398438</v>
      </c>
      <c r="P33" s="1">
        <v>580207</v>
      </c>
      <c r="Q33" s="1">
        <v>457505.34375</v>
      </c>
      <c r="R33" s="1">
        <v>438872.15625</v>
      </c>
      <c r="V33" s="3">
        <v>31</v>
      </c>
      <c r="W33" s="1">
        <f t="shared" si="0"/>
        <v>663010.57291666663</v>
      </c>
      <c r="X33" s="1">
        <f t="shared" si="1"/>
        <v>489887.80208333331</v>
      </c>
      <c r="Y33" s="1">
        <f t="shared" si="2"/>
        <v>132.27165857950845</v>
      </c>
      <c r="Z33" s="1">
        <f t="shared" si="3"/>
        <v>483598.66666666669</v>
      </c>
      <c r="AA33" s="1">
        <f t="shared" si="4"/>
        <v>15624.9658203125</v>
      </c>
      <c r="AB33" s="1">
        <f t="shared" si="5"/>
        <v>9010.3180338541661</v>
      </c>
      <c r="AC33" s="1">
        <f t="shared" si="6"/>
        <v>181.69829686482748</v>
      </c>
      <c r="AD33" s="1">
        <f t="shared" si="7"/>
        <v>10614.269694010416</v>
      </c>
    </row>
    <row r="34" spans="1:30">
      <c r="A34" s="1">
        <v>742592.75</v>
      </c>
      <c r="B34" s="1">
        <v>490333.40625</v>
      </c>
      <c r="C34" s="1">
        <v>779461.375</v>
      </c>
      <c r="F34" s="1">
        <v>543387.625</v>
      </c>
      <c r="G34" s="1">
        <v>482465.96875</v>
      </c>
      <c r="H34" s="1">
        <v>481921.40625</v>
      </c>
      <c r="K34" s="1">
        <v>15.820046424865723</v>
      </c>
      <c r="L34" s="1">
        <v>50.435440063476563</v>
      </c>
      <c r="M34" s="1">
        <v>-539.61688232421875</v>
      </c>
      <c r="P34" s="1">
        <v>587806.8125</v>
      </c>
      <c r="Q34" s="1">
        <v>463949.875</v>
      </c>
      <c r="R34" s="1">
        <v>446747.34375</v>
      </c>
      <c r="V34" s="3">
        <v>32</v>
      </c>
      <c r="W34" s="1">
        <f t="shared" si="0"/>
        <v>667304.83333333337</v>
      </c>
      <c r="X34" s="1">
        <f t="shared" si="1"/>
        <v>497102.61458333331</v>
      </c>
      <c r="Y34" s="1">
        <f t="shared" si="2"/>
        <v>-159.66334279378256</v>
      </c>
      <c r="Z34" s="1">
        <f t="shared" si="3"/>
        <v>492194.83333333331</v>
      </c>
      <c r="AA34" s="1">
        <f t="shared" si="4"/>
        <v>31544.145182291668</v>
      </c>
      <c r="AB34" s="1">
        <f t="shared" si="5"/>
        <v>11712.8955078125</v>
      </c>
      <c r="AC34" s="1">
        <f t="shared" si="6"/>
        <v>94.611269632975265</v>
      </c>
      <c r="AD34" s="1">
        <f t="shared" si="7"/>
        <v>20039.091471354168</v>
      </c>
    </row>
    <row r="35" spans="1:30">
      <c r="A35" s="1">
        <v>745508.5</v>
      </c>
      <c r="B35" s="1">
        <v>490974.5</v>
      </c>
      <c r="C35" s="1">
        <v>783223.625</v>
      </c>
      <c r="F35" s="1">
        <v>545009</v>
      </c>
      <c r="G35" s="1">
        <v>487577.9375</v>
      </c>
      <c r="H35" s="1">
        <v>486961.03125</v>
      </c>
      <c r="K35" s="1">
        <v>347.83297729492188</v>
      </c>
      <c r="L35" s="1">
        <v>230.34909057617188</v>
      </c>
      <c r="M35" s="1">
        <v>22.462091445922852</v>
      </c>
      <c r="P35" s="1">
        <v>593777.6875</v>
      </c>
      <c r="Q35" s="1">
        <v>469824.71875</v>
      </c>
      <c r="R35" s="1">
        <v>454666.0625</v>
      </c>
      <c r="V35" s="3">
        <v>33</v>
      </c>
      <c r="W35" s="1">
        <f t="shared" si="0"/>
        <v>670795.84375</v>
      </c>
      <c r="X35" s="1">
        <f t="shared" si="1"/>
        <v>502591.66666666669</v>
      </c>
      <c r="Y35" s="1">
        <f t="shared" si="2"/>
        <v>-157.78713194529215</v>
      </c>
      <c r="Z35" s="1">
        <f t="shared" si="3"/>
        <v>499501.34375</v>
      </c>
      <c r="AA35" s="1">
        <f t="shared" si="4"/>
        <v>59475.511067708336</v>
      </c>
      <c r="AB35" s="1">
        <f t="shared" si="5"/>
        <v>15595.4912109375</v>
      </c>
      <c r="AC35" s="1">
        <f t="shared" si="6"/>
        <v>-157.31558736165366</v>
      </c>
      <c r="AD35" s="1">
        <f t="shared" si="7"/>
        <v>37524.396484375</v>
      </c>
    </row>
    <row r="36" spans="1:30">
      <c r="A36" s="1">
        <v>745492.4375</v>
      </c>
      <c r="B36" s="1">
        <v>490383.28125</v>
      </c>
      <c r="C36" s="1">
        <v>785066.6875</v>
      </c>
      <c r="F36" s="1">
        <v>545177.6875</v>
      </c>
      <c r="G36" s="1">
        <v>491105.34375</v>
      </c>
      <c r="H36" s="1">
        <v>490742</v>
      </c>
      <c r="K36" s="1">
        <v>721.66619873046875</v>
      </c>
      <c r="L36" s="1">
        <v>179.66119384765625</v>
      </c>
      <c r="M36" s="1">
        <v>92.61529541015625</v>
      </c>
      <c r="P36" s="1">
        <v>598141.0625</v>
      </c>
      <c r="Q36" s="1">
        <v>474215.4375</v>
      </c>
      <c r="R36" s="1">
        <v>460693.9375</v>
      </c>
      <c r="V36" s="3">
        <v>34</v>
      </c>
      <c r="W36" s="1">
        <f t="shared" si="0"/>
        <v>673235.54166666663</v>
      </c>
      <c r="X36" s="1">
        <f t="shared" si="1"/>
        <v>506515.98958333331</v>
      </c>
      <c r="Y36" s="1">
        <f t="shared" si="2"/>
        <v>200.21471977233887</v>
      </c>
      <c r="Z36" s="1">
        <f t="shared" si="3"/>
        <v>506089.48958333331</v>
      </c>
      <c r="AA36" s="1">
        <f t="shared" si="4"/>
        <v>105078.19401041667</v>
      </c>
      <c r="AB36" s="1">
        <f t="shared" si="5"/>
        <v>22710.501302083332</v>
      </c>
      <c r="AC36" s="1">
        <f t="shared" si="6"/>
        <v>-24.299741109212238</v>
      </c>
      <c r="AD36" s="1">
        <f t="shared" si="7"/>
        <v>67725.450520833328</v>
      </c>
    </row>
    <row r="37" spans="1:30">
      <c r="D37" t="s">
        <v>3</v>
      </c>
      <c r="I37" t="s">
        <v>5</v>
      </c>
      <c r="N37" t="s">
        <v>7</v>
      </c>
      <c r="S37" t="s">
        <v>9</v>
      </c>
      <c r="V37" s="3">
        <v>35</v>
      </c>
      <c r="W37" s="1">
        <f t="shared" si="0"/>
        <v>673647.46875</v>
      </c>
      <c r="X37" s="1">
        <f t="shared" si="1"/>
        <v>509008.34375</v>
      </c>
      <c r="Y37" s="1">
        <f t="shared" si="2"/>
        <v>331.31422932942706</v>
      </c>
      <c r="Z37" s="1">
        <f t="shared" si="3"/>
        <v>511016.8125</v>
      </c>
      <c r="AA37" s="1">
        <f t="shared" si="4"/>
        <v>157729.0234375</v>
      </c>
      <c r="AB37" s="1">
        <f t="shared" si="5"/>
        <v>31586.641927083332</v>
      </c>
      <c r="AC37" s="1">
        <f t="shared" si="6"/>
        <v>410.78511683146161</v>
      </c>
      <c r="AD37" s="1">
        <f t="shared" si="7"/>
        <v>104988.65755208333</v>
      </c>
    </row>
    <row r="40" spans="1:30">
      <c r="A40" s="2"/>
      <c r="B40" s="2"/>
      <c r="C40" s="2"/>
    </row>
    <row r="41" spans="1:30">
      <c r="A41" s="1">
        <v>-5289.3916015625</v>
      </c>
      <c r="B41" s="1">
        <v>-16027.6220703125</v>
      </c>
      <c r="C41" s="1">
        <v>-3996.536376953125</v>
      </c>
      <c r="F41" s="1">
        <v>1315.9539794921875</v>
      </c>
      <c r="G41" s="1">
        <v>691.051025390625</v>
      </c>
      <c r="H41" s="1">
        <v>1649.9708251953125</v>
      </c>
      <c r="K41" s="1">
        <v>-3339.12158203125</v>
      </c>
      <c r="L41" s="1">
        <v>-1012.8983764648438</v>
      </c>
      <c r="M41" s="1">
        <v>-1610.764404296875</v>
      </c>
      <c r="P41" s="1">
        <v>644.44073486328125</v>
      </c>
      <c r="Q41" s="1">
        <v>499.873046875</v>
      </c>
      <c r="R41" s="1">
        <v>600.7593994140625</v>
      </c>
    </row>
    <row r="42" spans="1:30">
      <c r="A42" s="1">
        <v>-4469.4296875</v>
      </c>
      <c r="B42" s="1">
        <v>-12570.5703125</v>
      </c>
      <c r="C42" s="1">
        <v>-3511.097900390625</v>
      </c>
      <c r="F42" s="1">
        <v>442.71337890625</v>
      </c>
      <c r="G42" s="1">
        <v>75.734649658203125</v>
      </c>
      <c r="H42" s="1">
        <v>1047.7056884765625</v>
      </c>
      <c r="K42" s="1">
        <v>-2645.01904296875</v>
      </c>
      <c r="L42" s="1">
        <v>-1090.6048583984375</v>
      </c>
      <c r="M42" s="1">
        <v>-1401.6522216796875</v>
      </c>
      <c r="P42" s="1">
        <v>368.27093505859375</v>
      </c>
      <c r="Q42" s="1">
        <v>319.85662841796875</v>
      </c>
      <c r="R42" s="1">
        <v>444.98681640625</v>
      </c>
    </row>
    <row r="43" spans="1:30">
      <c r="A43" s="1">
        <v>-2493.5927734375</v>
      </c>
      <c r="B43" s="1">
        <v>-6909.47119140625</v>
      </c>
      <c r="C43" s="1">
        <v>-2040.8236083984375</v>
      </c>
      <c r="F43" s="1">
        <v>-203.69902038574219</v>
      </c>
      <c r="G43" s="1">
        <v>7.1917352676391602</v>
      </c>
      <c r="H43" s="1">
        <v>698.71392822265625</v>
      </c>
      <c r="K43" s="1">
        <v>-1927.646728515625</v>
      </c>
      <c r="L43" s="1">
        <v>-1106.1239013671875</v>
      </c>
      <c r="M43" s="1">
        <v>-949.5399169921875</v>
      </c>
      <c r="P43" s="1">
        <v>-164.47700500488281</v>
      </c>
      <c r="Q43" s="1">
        <v>39.457416534423828</v>
      </c>
      <c r="R43" s="1">
        <v>563.5032958984375</v>
      </c>
    </row>
    <row r="44" spans="1:30">
      <c r="A44" s="1">
        <v>-2116.537109375</v>
      </c>
      <c r="B44" s="1">
        <v>-2873.8408203125</v>
      </c>
      <c r="C44" s="1">
        <v>-1142.9710693359375</v>
      </c>
      <c r="F44" s="1">
        <v>-63.970813751220703</v>
      </c>
      <c r="G44" s="1">
        <v>63.109760284423828</v>
      </c>
      <c r="H44" s="1">
        <v>504.67532348632813</v>
      </c>
      <c r="K44" s="1">
        <v>-1705.8839111328125</v>
      </c>
      <c r="L44" s="1">
        <v>-782.189697265625</v>
      </c>
      <c r="M44" s="1">
        <v>-137.54095458984375</v>
      </c>
      <c r="P44" s="1">
        <v>-313.82650756835938</v>
      </c>
      <c r="Q44" s="1">
        <v>-31.933988571166992</v>
      </c>
      <c r="R44" s="1">
        <v>568.01983642578125</v>
      </c>
    </row>
    <row r="45" spans="1:30">
      <c r="A45" s="1">
        <v>-1490.122314453125</v>
      </c>
      <c r="B45" s="1">
        <v>-229.57002258300781</v>
      </c>
      <c r="C45" s="1">
        <v>-737.2825927734375</v>
      </c>
      <c r="F45" s="1">
        <v>235.06990051269531</v>
      </c>
      <c r="G45" s="1">
        <v>125.90277862548828</v>
      </c>
      <c r="H45" s="1">
        <v>138.61325073242188</v>
      </c>
      <c r="K45" s="1">
        <v>-448.49600219726563</v>
      </c>
      <c r="L45" s="1">
        <v>165.91239929199219</v>
      </c>
      <c r="M45" s="1">
        <v>947.7626953125</v>
      </c>
      <c r="P45" s="1">
        <v>-100.41038513183594</v>
      </c>
      <c r="Q45" s="1">
        <v>222.86991882324219</v>
      </c>
      <c r="R45" s="1">
        <v>657.57537841796875</v>
      </c>
    </row>
    <row r="46" spans="1:30">
      <c r="A46" s="1">
        <v>-166.33229064941406</v>
      </c>
      <c r="B46" s="1">
        <v>787.77899169921875</v>
      </c>
      <c r="C46" s="1">
        <v>334.4293212890625</v>
      </c>
      <c r="F46" s="1">
        <v>157.759033203125</v>
      </c>
      <c r="G46" s="1">
        <v>325.77392578125</v>
      </c>
      <c r="H46" s="1">
        <v>-207.78472900390625</v>
      </c>
      <c r="K46" s="1">
        <v>139.54812622070313</v>
      </c>
      <c r="L46" s="1">
        <v>699.9871826171875</v>
      </c>
      <c r="M46" s="1">
        <v>329.30853271484375</v>
      </c>
      <c r="P46" s="1">
        <v>181.0213623046875</v>
      </c>
      <c r="Q46" s="1">
        <v>-7.0058627128601074</v>
      </c>
      <c r="R46" s="1">
        <v>156.52937316894531</v>
      </c>
    </row>
    <row r="47" spans="1:30">
      <c r="A47" s="1">
        <v>847.0670166015625</v>
      </c>
      <c r="B47" s="1">
        <v>581.70611572265625</v>
      </c>
      <c r="C47" s="1">
        <v>399.62557983398438</v>
      </c>
      <c r="F47" s="1">
        <v>-27.684625625610352</v>
      </c>
      <c r="G47" s="1">
        <v>428.54351806640625</v>
      </c>
      <c r="H47" s="1">
        <v>-426.51864624023438</v>
      </c>
      <c r="K47" s="1">
        <v>313.95553588867188</v>
      </c>
      <c r="L47" s="1">
        <v>754.39788818359375</v>
      </c>
      <c r="M47" s="1">
        <v>-4.0596771240234375</v>
      </c>
      <c r="P47" s="1">
        <v>720.8359375</v>
      </c>
      <c r="Q47" s="1">
        <v>-137.74882507324219</v>
      </c>
      <c r="R47" s="1">
        <v>-228.27444458007813</v>
      </c>
    </row>
    <row r="48" spans="1:30">
      <c r="A48" s="1">
        <v>1117.8258056640625</v>
      </c>
      <c r="B48" s="1">
        <v>856.22698974609375</v>
      </c>
      <c r="C48" s="1">
        <v>-186.99063110351563</v>
      </c>
      <c r="F48" s="1">
        <v>-387.7532958984375</v>
      </c>
      <c r="G48" s="1">
        <v>324.2896728515625</v>
      </c>
      <c r="H48" s="1">
        <v>-360.96353149414063</v>
      </c>
      <c r="K48" s="1">
        <v>358.6676025390625</v>
      </c>
      <c r="L48" s="1">
        <v>979.76953125</v>
      </c>
      <c r="M48" s="1">
        <v>8.9627294540405273</v>
      </c>
      <c r="P48" s="1">
        <v>292.76766967773438</v>
      </c>
      <c r="Q48" s="1">
        <v>134.97694396972656</v>
      </c>
      <c r="R48" s="1">
        <v>-654.6641845703125</v>
      </c>
    </row>
    <row r="49" spans="1:18">
      <c r="A49" s="1">
        <v>1217.84228515625</v>
      </c>
      <c r="B49" s="1">
        <v>1388.513427734375</v>
      </c>
      <c r="C49" s="1">
        <v>-452.68499755859375</v>
      </c>
      <c r="F49" s="1">
        <v>-6.6032085418701172</v>
      </c>
      <c r="G49" s="1">
        <v>295.80926513671875</v>
      </c>
      <c r="H49" s="1">
        <v>-579.93963623046875</v>
      </c>
      <c r="K49" s="1">
        <v>1263.0867919921875</v>
      </c>
      <c r="L49" s="1">
        <v>600.01226806640625</v>
      </c>
      <c r="M49" s="1">
        <v>-130.17892456054688</v>
      </c>
      <c r="P49" s="1">
        <v>11.433799743652344</v>
      </c>
      <c r="Q49" s="1">
        <v>110.16367340087891</v>
      </c>
      <c r="R49" s="1">
        <v>-679.960205078125</v>
      </c>
    </row>
    <row r="50" spans="1:18">
      <c r="A50" s="1">
        <v>1752.3509521484375</v>
      </c>
      <c r="B50" s="1">
        <v>2201.628173828125</v>
      </c>
      <c r="C50" s="1">
        <v>1620.84716796875</v>
      </c>
      <c r="F50" s="1">
        <v>27.4453125</v>
      </c>
      <c r="G50" s="1">
        <v>-346.03836059570313</v>
      </c>
      <c r="H50" s="1">
        <v>-226.61106872558594</v>
      </c>
      <c r="K50" s="1">
        <v>1283.400390625</v>
      </c>
      <c r="L50" s="1">
        <v>354.61044311523438</v>
      </c>
      <c r="M50" s="1">
        <v>-292.51589965820313</v>
      </c>
      <c r="P50" s="1">
        <v>42.482734680175781</v>
      </c>
      <c r="Q50" s="1">
        <v>291.77227783203125</v>
      </c>
      <c r="R50" s="1">
        <v>-6.2093319892883301</v>
      </c>
    </row>
    <row r="51" spans="1:18">
      <c r="A51" s="1">
        <v>1322.3597412109375</v>
      </c>
      <c r="B51" s="1">
        <v>2421.66455078125</v>
      </c>
      <c r="C51" s="1">
        <v>1780.18408203125</v>
      </c>
      <c r="F51" s="1">
        <v>-169.74835205078125</v>
      </c>
      <c r="G51" s="1">
        <v>-648.08123779296875</v>
      </c>
      <c r="H51" s="1">
        <v>125.31906890869141</v>
      </c>
      <c r="K51" s="1">
        <v>720.54998779296875</v>
      </c>
      <c r="L51" s="1">
        <v>112.79850769042969</v>
      </c>
      <c r="M51" s="1">
        <v>-317.18099975585938</v>
      </c>
      <c r="P51" s="1">
        <v>-211.10894775390625</v>
      </c>
      <c r="Q51" s="1">
        <v>129.677734375</v>
      </c>
      <c r="R51" s="1">
        <v>-18.536584854125977</v>
      </c>
    </row>
    <row r="52" spans="1:18">
      <c r="A52" s="1">
        <v>1497.376220703125</v>
      </c>
      <c r="B52" s="1">
        <v>1966.482421875</v>
      </c>
      <c r="C52" s="1">
        <v>946.98974609375</v>
      </c>
      <c r="F52" s="1">
        <v>448.4095458984375</v>
      </c>
      <c r="G52" s="1">
        <v>-472.03042602539063</v>
      </c>
      <c r="H52" s="1">
        <v>-104.36798095703125</v>
      </c>
      <c r="K52" s="1">
        <v>453.03158569335938</v>
      </c>
      <c r="L52" s="1">
        <v>-472.07595825195313</v>
      </c>
      <c r="M52" s="1">
        <v>209.91954040527344</v>
      </c>
      <c r="P52" s="1">
        <v>-337.21627807617188</v>
      </c>
      <c r="Q52" s="1">
        <v>10.130077362060547</v>
      </c>
      <c r="R52" s="1">
        <v>-192.65289306640625</v>
      </c>
    </row>
    <row r="53" spans="1:18">
      <c r="A53" s="1">
        <v>1111.986572265625</v>
      </c>
      <c r="B53" s="1">
        <v>1760.4251708984375</v>
      </c>
      <c r="C53" s="1">
        <v>866.22509765625</v>
      </c>
      <c r="F53" s="1">
        <v>241.23931884765625</v>
      </c>
      <c r="G53" s="1">
        <v>-632.3233642578125</v>
      </c>
      <c r="H53" s="1">
        <v>-98.875343322753906</v>
      </c>
      <c r="K53" s="1">
        <v>574.31005859375</v>
      </c>
      <c r="L53" s="1">
        <v>-652.99334716796875</v>
      </c>
      <c r="M53" s="1">
        <v>506.53570556640625</v>
      </c>
      <c r="P53" s="1">
        <v>26.207672119140625</v>
      </c>
      <c r="Q53" s="1">
        <v>126.12148284912109</v>
      </c>
      <c r="R53" s="1">
        <v>-49.745777130126953</v>
      </c>
    </row>
    <row r="54" spans="1:18">
      <c r="A54" s="1">
        <v>1702.1436767578125</v>
      </c>
      <c r="B54" s="1">
        <v>1465.727294921875</v>
      </c>
      <c r="C54" s="1">
        <v>1041.80419921875</v>
      </c>
      <c r="F54" s="1">
        <v>229.256591796875</v>
      </c>
      <c r="G54" s="1">
        <v>-188.66313171386719</v>
      </c>
      <c r="H54" s="1">
        <v>-151.26551818847656</v>
      </c>
      <c r="K54" s="1">
        <v>-331.43096923828125</v>
      </c>
      <c r="L54" s="1">
        <v>-570.9224853515625</v>
      </c>
      <c r="M54" s="1">
        <v>403.57763671875</v>
      </c>
      <c r="P54" s="1">
        <v>-19.782453536987305</v>
      </c>
      <c r="Q54" s="1">
        <v>-270.34805297851563</v>
      </c>
      <c r="R54" s="1">
        <v>-174.39334106445313</v>
      </c>
    </row>
    <row r="55" spans="1:18">
      <c r="A55" s="1">
        <v>932.37896728515625</v>
      </c>
      <c r="B55" s="1">
        <v>961.40435791015625</v>
      </c>
      <c r="C55" s="1">
        <v>692.12542724609375</v>
      </c>
      <c r="F55" s="1">
        <v>8.7191686630249023</v>
      </c>
      <c r="G55" s="1">
        <v>-341.4638671875</v>
      </c>
      <c r="H55" s="1">
        <v>-249.92132568359375</v>
      </c>
      <c r="K55" s="1">
        <v>-484.4844970703125</v>
      </c>
      <c r="L55" s="1">
        <v>-433.66415405273438</v>
      </c>
      <c r="M55" s="1">
        <v>321.21722412109375</v>
      </c>
      <c r="P55" s="1">
        <v>48.532108306884766</v>
      </c>
      <c r="Q55" s="1">
        <v>-546.83319091796875</v>
      </c>
      <c r="R55" s="1">
        <v>-390.6815185546875</v>
      </c>
    </row>
    <row r="56" spans="1:18">
      <c r="A56" s="1">
        <v>-388.61233520507813</v>
      </c>
      <c r="B56" s="1">
        <v>804.65960693359375</v>
      </c>
      <c r="C56" s="1">
        <v>288.38421630859375</v>
      </c>
      <c r="F56" s="1">
        <v>-139.16981506347656</v>
      </c>
      <c r="G56" s="1">
        <v>-422.45989990234375</v>
      </c>
      <c r="H56" s="1">
        <v>-177.76461791992188</v>
      </c>
      <c r="K56" s="1">
        <v>731.66510009765625</v>
      </c>
      <c r="L56" s="1">
        <v>245.88717651367188</v>
      </c>
      <c r="M56" s="1">
        <v>31.29041862487793</v>
      </c>
      <c r="P56" s="1">
        <v>-202.64552307128906</v>
      </c>
      <c r="Q56" s="1">
        <v>-426.552734375</v>
      </c>
      <c r="R56" s="1">
        <v>-359.6181640625</v>
      </c>
    </row>
    <row r="57" spans="1:18">
      <c r="A57" s="1">
        <v>-1141.4473876953125</v>
      </c>
      <c r="B57" s="1">
        <v>492.39926147460938</v>
      </c>
      <c r="C57" s="1">
        <v>563.54144287109375</v>
      </c>
      <c r="F57" s="1">
        <v>-349.26971435546875</v>
      </c>
      <c r="G57" s="1">
        <v>460.4659423828125</v>
      </c>
      <c r="H57" s="1">
        <v>432.67330932617188</v>
      </c>
      <c r="K57" s="1">
        <v>919.232666015625</v>
      </c>
      <c r="L57" s="1">
        <v>165.14163208007813</v>
      </c>
      <c r="M57" s="1">
        <v>-633.16375732421875</v>
      </c>
      <c r="P57" s="1">
        <v>-376.38565063476563</v>
      </c>
      <c r="Q57" s="1">
        <v>-72.311325073242188</v>
      </c>
      <c r="R57" s="1">
        <v>-479.97665405273438</v>
      </c>
    </row>
    <row r="58" spans="1:18">
      <c r="A58" s="1">
        <v>-356.04800415039063</v>
      </c>
      <c r="B58" s="1">
        <v>476.34201049804688</v>
      </c>
      <c r="C58" s="1">
        <v>-152.26231384277344</v>
      </c>
      <c r="F58" s="1">
        <v>-91.471206665039063</v>
      </c>
      <c r="G58" s="1">
        <v>376.04022216796875</v>
      </c>
      <c r="H58" s="1">
        <v>684.01751708984375</v>
      </c>
      <c r="K58" s="1">
        <v>663.44866943359375</v>
      </c>
      <c r="L58" s="1">
        <v>-33.396881103515625</v>
      </c>
      <c r="M58" s="1">
        <v>-708.418701171875</v>
      </c>
      <c r="P58" s="1">
        <v>-81.203895568847656</v>
      </c>
      <c r="Q58" s="1">
        <v>-186.30429077148438</v>
      </c>
      <c r="R58" s="1">
        <v>-225.95234680175781</v>
      </c>
    </row>
    <row r="59" spans="1:18">
      <c r="A59" s="1">
        <v>-351.937744140625</v>
      </c>
      <c r="B59" s="1">
        <v>59.394134521484375</v>
      </c>
      <c r="C59" s="1">
        <v>-598.9019775390625</v>
      </c>
      <c r="F59" s="1">
        <v>120.84294128417969</v>
      </c>
      <c r="G59" s="1">
        <v>-1.5730125904083252</v>
      </c>
      <c r="H59" s="1">
        <v>899.1820068359375</v>
      </c>
      <c r="K59" s="1">
        <v>518.47711181640625</v>
      </c>
      <c r="L59" s="1">
        <v>-207.16976928710938</v>
      </c>
      <c r="M59" s="1">
        <v>146.91232299804688</v>
      </c>
      <c r="P59" s="1">
        <v>7.3919172286987305</v>
      </c>
      <c r="Q59" s="1">
        <v>-138.92225646972656</v>
      </c>
      <c r="R59" s="1">
        <v>-30.974918365478516</v>
      </c>
    </row>
    <row r="60" spans="1:18">
      <c r="A60" s="1">
        <v>-997.51495361328125</v>
      </c>
      <c r="B60" s="1">
        <v>470.72750854492188</v>
      </c>
      <c r="C60" s="1">
        <v>-637.4322509765625</v>
      </c>
      <c r="F60" s="1">
        <v>601.3524169921875</v>
      </c>
      <c r="G60" s="1">
        <v>240.52470397949219</v>
      </c>
      <c r="H60" s="1">
        <v>2423.487060546875</v>
      </c>
      <c r="K60" s="1">
        <v>-286.99435424804688</v>
      </c>
      <c r="L60" s="1">
        <v>-246.01296997070313</v>
      </c>
      <c r="M60" s="1">
        <v>765.47381591796875</v>
      </c>
      <c r="P60" s="1">
        <v>280.83929443359375</v>
      </c>
      <c r="Q60" s="1">
        <v>71.194145202636719</v>
      </c>
      <c r="R60" s="1">
        <v>209.75251770019531</v>
      </c>
    </row>
    <row r="61" spans="1:18">
      <c r="A61" s="1">
        <v>-571.9202880859375</v>
      </c>
      <c r="B61" s="1">
        <v>-547.4078369140625</v>
      </c>
      <c r="C61" s="1">
        <v>-1304.3687744140625</v>
      </c>
      <c r="F61" s="1">
        <v>805.08843994140625</v>
      </c>
      <c r="G61" s="1">
        <v>404.98178100585938</v>
      </c>
      <c r="H61" s="1">
        <v>3280.300048828125</v>
      </c>
      <c r="K61" s="1">
        <v>-557.41900634765625</v>
      </c>
      <c r="L61" s="1">
        <v>59.702419281005859</v>
      </c>
      <c r="M61" s="1">
        <v>480.4766845703125</v>
      </c>
      <c r="P61" s="1">
        <v>130.64604187011719</v>
      </c>
      <c r="Q61" s="1">
        <v>-105.142578125</v>
      </c>
      <c r="R61" s="1">
        <v>297.30807495117188</v>
      </c>
    </row>
    <row r="62" spans="1:18">
      <c r="A62" s="1">
        <v>-486.51315307617188</v>
      </c>
      <c r="B62" s="1">
        <v>-1178.386962890625</v>
      </c>
      <c r="C62" s="1">
        <v>-1280.4381103515625</v>
      </c>
      <c r="F62" s="1">
        <v>1760.886962890625</v>
      </c>
      <c r="G62" s="1">
        <v>419.39199829101563</v>
      </c>
      <c r="H62" s="1">
        <v>3411.948974609375</v>
      </c>
      <c r="K62" s="1">
        <v>-3.3944132328033447</v>
      </c>
      <c r="L62" s="1">
        <v>89.089683532714844</v>
      </c>
      <c r="M62" s="1">
        <v>-401.18060302734375</v>
      </c>
      <c r="P62" s="1">
        <v>64.898101806640625</v>
      </c>
      <c r="Q62" s="1">
        <v>-52.744918823242188</v>
      </c>
      <c r="R62" s="1">
        <v>295.9417724609375</v>
      </c>
    </row>
    <row r="63" spans="1:18">
      <c r="A63" s="1">
        <v>-618.27789306640625</v>
      </c>
      <c r="B63" s="1">
        <v>-193.08485412597656</v>
      </c>
      <c r="C63" s="1">
        <v>-1806.054443359375</v>
      </c>
      <c r="F63" s="1">
        <v>2167.927734375</v>
      </c>
      <c r="G63" s="1">
        <v>760.15374755859375</v>
      </c>
      <c r="H63" s="1">
        <v>3851.527587890625</v>
      </c>
      <c r="K63" s="1">
        <v>-169.00263977050781</v>
      </c>
      <c r="L63" s="1">
        <v>285.42227172851563</v>
      </c>
      <c r="M63" s="1">
        <v>-598.591796875</v>
      </c>
      <c r="P63" s="1">
        <v>107.60328674316406</v>
      </c>
      <c r="Q63" s="1">
        <v>443.93399047851563</v>
      </c>
      <c r="R63" s="1">
        <v>150.661376953125</v>
      </c>
    </row>
    <row r="64" spans="1:18">
      <c r="A64" s="1">
        <v>82.363655090332031</v>
      </c>
      <c r="B64" s="1">
        <v>-537.97021484375</v>
      </c>
      <c r="C64" s="1">
        <v>-1244.014404296875</v>
      </c>
      <c r="F64" s="1">
        <v>2535.15576171875</v>
      </c>
      <c r="G64" s="1">
        <v>1213.21240234375</v>
      </c>
      <c r="H64" s="1">
        <v>4318.88720703125</v>
      </c>
      <c r="K64" s="1">
        <v>-587.21630859375</v>
      </c>
      <c r="L64" s="1">
        <v>449.05563354492188</v>
      </c>
      <c r="M64" s="1">
        <v>-156.60845947265625</v>
      </c>
      <c r="P64" s="1">
        <v>298.4256591796875</v>
      </c>
      <c r="Q64" s="1">
        <v>395.55038452148438</v>
      </c>
      <c r="R64" s="1">
        <v>362.52163696289063</v>
      </c>
    </row>
    <row r="65" spans="1:19">
      <c r="A65" s="1">
        <v>-404.83856201171875</v>
      </c>
      <c r="B65" s="1">
        <v>-1245.0899658203125</v>
      </c>
      <c r="C65" s="1">
        <v>-1220.888427734375</v>
      </c>
      <c r="F65" s="1">
        <v>3127.891845703125</v>
      </c>
      <c r="G65" s="1">
        <v>1691.1617431640625</v>
      </c>
      <c r="H65" s="1">
        <v>5060.8876953125</v>
      </c>
      <c r="K65" s="1">
        <v>-916.7152099609375</v>
      </c>
      <c r="L65" s="1">
        <v>490.12649536132813</v>
      </c>
      <c r="M65" s="1">
        <v>-134.47666931152344</v>
      </c>
      <c r="P65" s="1">
        <v>339.310546875</v>
      </c>
      <c r="Q65" s="1">
        <v>247.05743408203125</v>
      </c>
      <c r="R65" s="1">
        <v>229.82719421386719</v>
      </c>
    </row>
    <row r="66" spans="1:19">
      <c r="A66" s="1">
        <v>-502.43923950195313</v>
      </c>
      <c r="B66" s="1">
        <v>-1151.412841796875</v>
      </c>
      <c r="C66" s="1">
        <v>-678.403076171875</v>
      </c>
      <c r="F66" s="1">
        <v>4194.7138671875</v>
      </c>
      <c r="G66" s="1">
        <v>2241.595458984375</v>
      </c>
      <c r="H66" s="1">
        <v>5818.29443359375</v>
      </c>
      <c r="K66" s="1">
        <v>-738.47576904296875</v>
      </c>
      <c r="L66" s="1">
        <v>-489.25186157226563</v>
      </c>
      <c r="M66" s="1">
        <v>-45.735515594482422</v>
      </c>
      <c r="P66" s="1">
        <v>785.4923095703125</v>
      </c>
      <c r="Q66" s="1">
        <v>753.884765625</v>
      </c>
      <c r="R66" s="1">
        <v>429.36712646484375</v>
      </c>
    </row>
    <row r="67" spans="1:19">
      <c r="A67" s="1">
        <v>-25.383638381958008</v>
      </c>
      <c r="B67" s="1">
        <v>-1828.8450927734375</v>
      </c>
      <c r="C67" s="1">
        <v>112.03536987304688</v>
      </c>
      <c r="F67" s="1">
        <v>4714.56689453125</v>
      </c>
      <c r="G67" s="1">
        <v>2336.825927734375</v>
      </c>
      <c r="H67" s="1">
        <v>6628.654296875</v>
      </c>
      <c r="K67" s="1">
        <v>275.822265625</v>
      </c>
      <c r="L67" s="1">
        <v>-692.2396240234375</v>
      </c>
      <c r="M67" s="1">
        <v>-74.213111877441406</v>
      </c>
      <c r="P67" s="1">
        <v>1156.033447265625</v>
      </c>
      <c r="Q67" s="1">
        <v>1274.837158203125</v>
      </c>
      <c r="R67" s="1">
        <v>675.08673095703125</v>
      </c>
    </row>
    <row r="68" spans="1:19">
      <c r="A68" s="1">
        <v>612.40631103515625</v>
      </c>
      <c r="B68" s="1">
        <v>-2165.13671875</v>
      </c>
      <c r="C68" s="1">
        <v>1943.403564453125</v>
      </c>
      <c r="F68" s="1">
        <v>5276.45166015625</v>
      </c>
      <c r="G68" s="1">
        <v>3096.634521484375</v>
      </c>
      <c r="H68" s="1">
        <v>7431.82666015625</v>
      </c>
      <c r="K68" s="1">
        <v>226.45233154296875</v>
      </c>
      <c r="L68" s="1">
        <v>-207.84452819824219</v>
      </c>
      <c r="M68" s="1">
        <v>163.49679565429688</v>
      </c>
      <c r="P68" s="1">
        <v>1796.2620849609375</v>
      </c>
      <c r="Q68" s="1">
        <v>2700.09423828125</v>
      </c>
      <c r="R68" s="1">
        <v>1521.704833984375</v>
      </c>
    </row>
    <row r="69" spans="1:19">
      <c r="A69" s="1">
        <v>2576.5009765625</v>
      </c>
      <c r="B69" s="1">
        <v>-964.0689697265625</v>
      </c>
      <c r="C69" s="1">
        <v>5515.294921875</v>
      </c>
      <c r="F69" s="1">
        <v>5884.6328125</v>
      </c>
      <c r="G69" s="1">
        <v>4149.599609375</v>
      </c>
      <c r="H69" s="1">
        <v>8571.8896484375</v>
      </c>
      <c r="K69" s="1">
        <v>-86.749649047851563</v>
      </c>
      <c r="L69" s="1">
        <v>-55.183822631835938</v>
      </c>
      <c r="M69" s="1">
        <v>91.585609436035156</v>
      </c>
      <c r="P69" s="1">
        <v>2520.98291015625</v>
      </c>
      <c r="Q69" s="1">
        <v>4443.25732421875</v>
      </c>
      <c r="R69" s="1">
        <v>2767.85400390625</v>
      </c>
    </row>
    <row r="70" spans="1:19">
      <c r="A70" s="1">
        <v>7296.220703125</v>
      </c>
      <c r="B70" s="1">
        <v>1667.061279296875</v>
      </c>
      <c r="C70" s="1">
        <v>12445.1318359375</v>
      </c>
      <c r="F70" s="1">
        <v>6927.96240234375</v>
      </c>
      <c r="G70" s="1">
        <v>5082.439453125</v>
      </c>
      <c r="H70" s="1">
        <v>9923.2646484375</v>
      </c>
      <c r="K70" s="1">
        <v>-311.56881713867188</v>
      </c>
      <c r="L70" s="1">
        <v>340.59796142578125</v>
      </c>
      <c r="M70" s="1">
        <v>163.19004821777344</v>
      </c>
      <c r="P70" s="1">
        <v>3981.28173828125</v>
      </c>
      <c r="Q70" s="1">
        <v>8247.9677734375</v>
      </c>
      <c r="R70" s="1">
        <v>5365.42529296875</v>
      </c>
    </row>
    <row r="71" spans="1:19">
      <c r="A71" s="1">
        <v>15713.4404296875</v>
      </c>
      <c r="B71" s="1">
        <v>5078.17578125</v>
      </c>
      <c r="C71" s="1">
        <v>26083.28125</v>
      </c>
      <c r="F71" s="1">
        <v>9245.8544921875</v>
      </c>
      <c r="G71" s="1">
        <v>6175.568359375</v>
      </c>
      <c r="H71" s="1">
        <v>11609.53125</v>
      </c>
      <c r="K71" s="1">
        <v>131.88937377929688</v>
      </c>
      <c r="L71" s="1">
        <v>36.313365936279297</v>
      </c>
      <c r="M71" s="1">
        <v>376.89215087890625</v>
      </c>
      <c r="P71" s="1">
        <v>5992.69775390625</v>
      </c>
      <c r="Q71" s="1">
        <v>15131.529296875</v>
      </c>
      <c r="R71" s="1">
        <v>10718.58203125</v>
      </c>
    </row>
    <row r="72" spans="1:19">
      <c r="A72" s="1">
        <v>31541.74609375</v>
      </c>
      <c r="B72" s="1">
        <v>12622.525390625</v>
      </c>
      <c r="C72" s="1">
        <v>50468.1640625</v>
      </c>
      <c r="F72" s="1">
        <v>12167.9033203125</v>
      </c>
      <c r="G72" s="1">
        <v>8642.455078125</v>
      </c>
      <c r="H72" s="1">
        <v>14328.328125</v>
      </c>
      <c r="K72" s="1">
        <v>644.1131591796875</v>
      </c>
      <c r="L72" s="1">
        <v>-102.75249481201172</v>
      </c>
      <c r="M72" s="1">
        <v>-257.52685546875</v>
      </c>
      <c r="P72" s="1">
        <v>11572.5283203125</v>
      </c>
      <c r="Q72" s="1">
        <v>28318.826171875</v>
      </c>
      <c r="R72" s="1">
        <v>20225.919921875</v>
      </c>
    </row>
    <row r="73" spans="1:19">
      <c r="A73" s="1">
        <v>61266.86328125</v>
      </c>
      <c r="B73" s="1">
        <v>25192.732421875</v>
      </c>
      <c r="C73" s="1">
        <v>91966.9375</v>
      </c>
      <c r="F73" s="1">
        <v>16238.1318359375</v>
      </c>
      <c r="G73" s="1">
        <v>12906.357421875</v>
      </c>
      <c r="H73" s="1">
        <v>17641.984375</v>
      </c>
      <c r="K73" s="1">
        <v>-202.43254089355469</v>
      </c>
      <c r="L73" s="1">
        <v>135.962890625</v>
      </c>
      <c r="M73" s="1">
        <v>-405.47711181640625</v>
      </c>
      <c r="P73" s="1">
        <v>21764.076171875</v>
      </c>
      <c r="Q73" s="1">
        <v>52262.55859375</v>
      </c>
      <c r="R73" s="1">
        <v>38546.5546875</v>
      </c>
    </row>
    <row r="74" spans="1:19">
      <c r="A74" s="1">
        <v>110128.75</v>
      </c>
      <c r="B74" s="1">
        <v>48214.67578125</v>
      </c>
      <c r="C74" s="1">
        <v>156891.15625</v>
      </c>
      <c r="F74" s="1">
        <v>23540.2265625</v>
      </c>
      <c r="G74" s="1">
        <v>20160.166015625</v>
      </c>
      <c r="H74" s="1">
        <v>24431.111328125</v>
      </c>
      <c r="K74" s="1">
        <v>-459.739990234375</v>
      </c>
      <c r="L74" s="1">
        <v>87.033760070800781</v>
      </c>
      <c r="M74" s="1">
        <v>299.8070068359375</v>
      </c>
      <c r="P74" s="1">
        <v>40453.8125</v>
      </c>
      <c r="Q74" s="1">
        <v>92069.6171875</v>
      </c>
      <c r="R74" s="1">
        <v>70652.921875</v>
      </c>
    </row>
    <row r="75" spans="1:19">
      <c r="A75" s="1">
        <v>168728.90625</v>
      </c>
      <c r="B75" s="1">
        <v>76017.9296875</v>
      </c>
      <c r="C75" s="1">
        <v>228440.234375</v>
      </c>
      <c r="F75" s="1">
        <v>32985.90234375</v>
      </c>
      <c r="G75" s="1">
        <v>29186.505859375</v>
      </c>
      <c r="H75" s="1">
        <v>32587.517578125</v>
      </c>
      <c r="K75" s="1">
        <v>466.76507568359375</v>
      </c>
      <c r="L75" s="1">
        <v>-56.551631927490234</v>
      </c>
      <c r="M75" s="1">
        <v>822.14190673828125</v>
      </c>
      <c r="P75" s="1">
        <v>63718.18359375</v>
      </c>
      <c r="Q75" s="1">
        <v>140370.0625</v>
      </c>
      <c r="R75" s="1">
        <v>110877.7265625</v>
      </c>
    </row>
    <row r="76" spans="1:19">
      <c r="D76" t="s">
        <v>4</v>
      </c>
      <c r="I76" t="s">
        <v>6</v>
      </c>
      <c r="N76" t="s">
        <v>8</v>
      </c>
      <c r="S76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4"/>
  <sheetViews>
    <sheetView topLeftCell="A31" workbookViewId="0">
      <selection activeCell="Z45" sqref="Z45"/>
    </sheetView>
  </sheetViews>
  <sheetFormatPr defaultRowHeight="15"/>
  <cols>
    <col min="3" max="3" width="11.42578125" customWidth="1"/>
    <col min="22" max="22" width="9.85546875" bestFit="1" customWidth="1"/>
    <col min="24" max="25" width="9.85546875" bestFit="1" customWidth="1"/>
  </cols>
  <sheetData>
    <row r="1" spans="1:29">
      <c r="A1" s="1">
        <v>-897.84503173828125</v>
      </c>
      <c r="B1" s="1">
        <v>239.47090148925781</v>
      </c>
      <c r="C1" s="1">
        <v>-14181.8447265625</v>
      </c>
      <c r="F1" s="1">
        <v>1292.4293212890625</v>
      </c>
      <c r="G1" s="1">
        <v>-702.60626220703125</v>
      </c>
      <c r="H1" s="1">
        <v>301.91357421875</v>
      </c>
      <c r="K1" s="1">
        <v>-827.91156005859375</v>
      </c>
      <c r="L1" s="1">
        <v>2892.08447265625</v>
      </c>
      <c r="M1" s="1">
        <v>1276.4385986328125</v>
      </c>
      <c r="P1" s="1">
        <v>-2736.574462890625</v>
      </c>
      <c r="Q1" s="1">
        <v>-707.69921875</v>
      </c>
      <c r="R1" s="1">
        <v>-629.00030517578125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</row>
    <row r="2" spans="1:29">
      <c r="A2" s="1">
        <v>-237.615234375</v>
      </c>
      <c r="B2" s="1">
        <v>-173.43959045410156</v>
      </c>
      <c r="C2" s="1">
        <v>-8695.427734375</v>
      </c>
      <c r="F2" s="1">
        <v>620.6451416015625</v>
      </c>
      <c r="G2" s="1">
        <v>-612.65191650390625</v>
      </c>
      <c r="H2" s="1">
        <v>-149.1591796875</v>
      </c>
      <c r="K2" s="1">
        <v>-837.12432861328125</v>
      </c>
      <c r="L2" s="1">
        <v>2554.212646484375</v>
      </c>
      <c r="M2" s="1">
        <v>1409.65771484375</v>
      </c>
      <c r="P2" s="1">
        <v>-1529.489990234375</v>
      </c>
      <c r="Q2" s="1">
        <v>-419.35546875</v>
      </c>
      <c r="R2" s="1">
        <v>-515.27679443359375</v>
      </c>
      <c r="U2" s="3">
        <v>1</v>
      </c>
      <c r="V2" s="1">
        <f>AVERAGE(A1:C1)</f>
        <v>-4946.7396189371748</v>
      </c>
      <c r="W2" s="1">
        <f>AVERAGE(F1:H1)</f>
        <v>297.24554443359375</v>
      </c>
      <c r="X2" s="1">
        <f>AVERAGE(K1:M1)</f>
        <v>1113.5371704101563</v>
      </c>
      <c r="Y2" s="1">
        <f>AVERAGE(P1:R1)</f>
        <v>-1357.7579956054688</v>
      </c>
      <c r="Z2" s="1">
        <f>AVERAGE(A39:C39)</f>
        <v>1154.6439208984375</v>
      </c>
      <c r="AA2">
        <f>AVERAGEA(F39:H39)</f>
        <v>3171.8138631184897</v>
      </c>
      <c r="AB2">
        <f>AVEDEV(K39:M39)</f>
        <v>476.5720079210069</v>
      </c>
      <c r="AC2" s="1">
        <f>AVERAGE(P39:R39)</f>
        <v>285.48915354410809</v>
      </c>
    </row>
    <row r="3" spans="1:29">
      <c r="A3" s="1">
        <v>689.23175048828125</v>
      </c>
      <c r="B3" s="1">
        <v>369.89212036132813</v>
      </c>
      <c r="C3" s="1">
        <v>-169.83927917480469</v>
      </c>
      <c r="F3" s="1">
        <v>253.71647644042969</v>
      </c>
      <c r="G3" s="1">
        <v>-577.92022705078125</v>
      </c>
      <c r="H3" s="1">
        <v>-431.82177734375</v>
      </c>
      <c r="K3" s="1">
        <v>-136.24336242675781</v>
      </c>
      <c r="L3" s="1">
        <v>2120.8095703125</v>
      </c>
      <c r="M3" s="1">
        <v>1328.4002685546875</v>
      </c>
      <c r="P3" s="1">
        <v>-302.41323852539063</v>
      </c>
      <c r="Q3" s="1">
        <v>129.015625</v>
      </c>
      <c r="R3" s="1">
        <v>-294.02984619140625</v>
      </c>
      <c r="U3" s="3">
        <v>2</v>
      </c>
      <c r="V3">
        <f>AVEDEV(A2:C2)</f>
        <v>3773.2890319824219</v>
      </c>
      <c r="W3" s="1">
        <f>AVERAGE(F2:H2)</f>
        <v>-47.055318196614586</v>
      </c>
      <c r="X3" s="1">
        <f>AVERAGE(K2:M2)</f>
        <v>1042.2486775716145</v>
      </c>
      <c r="Y3">
        <f>AVERAGEA(P2:R2)</f>
        <v>-821.37408447265625</v>
      </c>
      <c r="Z3" s="1">
        <f>AVERAGE(A40:C40)</f>
        <v>872.437001546224</v>
      </c>
      <c r="AA3" s="1">
        <f>AVERAGE(F40:H40)</f>
        <v>1597.0168685913086</v>
      </c>
      <c r="AB3" s="1">
        <f>AVERAGE(K40:M40)</f>
        <v>273.08584594726563</v>
      </c>
      <c r="AC3" s="1">
        <f>AVERAGE(P40:R40)</f>
        <v>147.75718180338541</v>
      </c>
    </row>
    <row r="4" spans="1:29">
      <c r="A4" s="1">
        <v>-117.51888275146484</v>
      </c>
      <c r="B4" s="1">
        <v>35.106620788574219</v>
      </c>
      <c r="C4" s="1">
        <v>935.57769775390625</v>
      </c>
      <c r="F4" s="1">
        <v>180.83660888671875</v>
      </c>
      <c r="G4" s="1">
        <v>-116.21200561523438</v>
      </c>
      <c r="H4" s="1">
        <v>-175.24609375</v>
      </c>
      <c r="K4" s="1">
        <v>165.48135375976563</v>
      </c>
      <c r="L4" s="1">
        <v>1520.875244140625</v>
      </c>
      <c r="M4" s="1">
        <v>1228.885009765625</v>
      </c>
      <c r="P4" s="1">
        <v>-106.39899444580078</v>
      </c>
      <c r="Q4" s="1">
        <v>26.875</v>
      </c>
      <c r="R4" s="1">
        <v>-137.75949096679688</v>
      </c>
      <c r="U4" s="3">
        <v>3</v>
      </c>
      <c r="V4" s="1">
        <f t="shared" ref="V4:V36" si="0">AVERAGE(A3:C3)</f>
        <v>296.42819722493488</v>
      </c>
      <c r="W4" s="1">
        <f t="shared" ref="W4:W36" si="1">AVERAGE(F3:H3)</f>
        <v>-252.00850931803384</v>
      </c>
      <c r="X4" s="1">
        <f t="shared" ref="X4:X36" si="2">AVERAGE(K3:M3)</f>
        <v>1104.3221588134766</v>
      </c>
      <c r="Y4" s="1">
        <f t="shared" ref="Y4:Y36" si="3">AVERAGE(P3:R3)</f>
        <v>-155.80915323893228</v>
      </c>
      <c r="Z4" s="1">
        <f t="shared" ref="Z4:Z36" si="4">AVERAGE(A41:C41)</f>
        <v>929.62333170572913</v>
      </c>
      <c r="AA4">
        <f t="shared" ref="AA4" si="5">AVERAGEA(F41:H41)</f>
        <v>253.72762298583984</v>
      </c>
      <c r="AB4">
        <f t="shared" ref="AB4" si="6">AVEDEV(K41:M41)</f>
        <v>239.7237146165636</v>
      </c>
      <c r="AC4" s="1">
        <f t="shared" ref="AC4:AC35" si="7">AVERAGE(P41:R41)</f>
        <v>209.02782185872397</v>
      </c>
    </row>
    <row r="5" spans="1:29">
      <c r="A5" s="1">
        <v>-633.58203125</v>
      </c>
      <c r="B5" s="1">
        <v>-434.71011352539063</v>
      </c>
      <c r="C5" s="1">
        <v>-457.72412109375</v>
      </c>
      <c r="F5" s="1">
        <v>-485.60964965820313</v>
      </c>
      <c r="G5" s="1">
        <v>578.9454345703125</v>
      </c>
      <c r="H5" s="1">
        <v>481.14013671875</v>
      </c>
      <c r="K5" s="1">
        <v>521.0849609375</v>
      </c>
      <c r="L5" s="1">
        <v>1207.71044921875</v>
      </c>
      <c r="M5" s="1">
        <v>967.09637451171875</v>
      </c>
      <c r="P5" s="1">
        <v>453.357421875</v>
      </c>
      <c r="Q5" s="1">
        <v>103.546875</v>
      </c>
      <c r="R5" s="1">
        <v>303.63198852539063</v>
      </c>
      <c r="U5" s="3">
        <v>4</v>
      </c>
      <c r="V5">
        <f t="shared" ref="V5:V36" si="8">AVEDEV(A4:C4)</f>
        <v>434.12614610460076</v>
      </c>
      <c r="W5" s="1">
        <f t="shared" si="1"/>
        <v>-36.873830159505211</v>
      </c>
      <c r="X5" s="1">
        <f t="shared" si="2"/>
        <v>971.7472025553385</v>
      </c>
      <c r="Y5">
        <f t="shared" ref="Y5:Y36" si="9">AVERAGEA(P4:R4)</f>
        <v>-72.42782847086589</v>
      </c>
      <c r="Z5" s="1">
        <f t="shared" si="4"/>
        <v>977.29143269856775</v>
      </c>
      <c r="AA5" s="1">
        <f t="shared" ref="AA5" si="10">AVERAGE(F42:H42)</f>
        <v>-126.19572448730469</v>
      </c>
      <c r="AB5" s="1">
        <f t="shared" ref="AB5" si="11">AVERAGE(K42:M42)</f>
        <v>-31.802242914835613</v>
      </c>
      <c r="AC5" s="1">
        <f t="shared" si="7"/>
        <v>125.22683461507161</v>
      </c>
    </row>
    <row r="6" spans="1:29">
      <c r="A6" s="1">
        <v>-32.676433563232422</v>
      </c>
      <c r="B6" s="1">
        <v>-526.17529296875</v>
      </c>
      <c r="C6" s="1">
        <v>-692.04150390625</v>
      </c>
      <c r="F6" s="1">
        <v>-521.331298828125</v>
      </c>
      <c r="G6" s="1">
        <v>583.8099365234375</v>
      </c>
      <c r="H6" s="1">
        <v>535.5576171875</v>
      </c>
      <c r="K6" s="1">
        <v>539.9073486328125</v>
      </c>
      <c r="L6" s="1">
        <v>647.21759033203125</v>
      </c>
      <c r="M6" s="1">
        <v>539.08892822265625</v>
      </c>
      <c r="P6" s="1">
        <v>275.70758056640625</v>
      </c>
      <c r="Q6" s="1">
        <v>-244.16015625</v>
      </c>
      <c r="R6" s="1">
        <v>449.3671875</v>
      </c>
      <c r="U6" s="3">
        <v>5</v>
      </c>
      <c r="V6" s="1">
        <f t="shared" ref="V6:V36" si="12">AVERAGE(A5:C5)</f>
        <v>-508.67208862304688</v>
      </c>
      <c r="W6" s="1">
        <f t="shared" si="1"/>
        <v>191.49197387695313</v>
      </c>
      <c r="X6" s="1">
        <f t="shared" si="2"/>
        <v>898.63059488932288</v>
      </c>
      <c r="Y6" s="1">
        <f t="shared" ref="Y6:Y36" si="13">AVERAGE(P5:R5)</f>
        <v>286.84542846679688</v>
      </c>
      <c r="Z6" s="1">
        <f t="shared" si="4"/>
        <v>403.95693461100262</v>
      </c>
      <c r="AA6">
        <f t="shared" ref="AA6" si="14">AVERAGEA(F43:H43)</f>
        <v>-432.93416341145831</v>
      </c>
      <c r="AB6">
        <f t="shared" ref="AB6" si="15">AVEDEV(K43:M43)</f>
        <v>440.1914829678006</v>
      </c>
      <c r="AC6" s="1">
        <f t="shared" si="7"/>
        <v>101.28783162434895</v>
      </c>
    </row>
    <row r="7" spans="1:29">
      <c r="A7" s="1">
        <v>-224.75129699707031</v>
      </c>
      <c r="B7" s="1">
        <v>366.59390258789063</v>
      </c>
      <c r="C7" s="1">
        <v>-135.85893249511719</v>
      </c>
      <c r="F7" s="1">
        <v>395.417724609375</v>
      </c>
      <c r="G7" s="1">
        <v>77.975212097167969</v>
      </c>
      <c r="H7" s="1">
        <v>84.14306640625</v>
      </c>
      <c r="K7" s="1">
        <v>554.624267578125</v>
      </c>
      <c r="L7" s="1">
        <v>-654.03704833984375</v>
      </c>
      <c r="M7" s="1">
        <v>314.62835693359375</v>
      </c>
      <c r="P7" s="1">
        <v>-263.87191772460938</v>
      </c>
      <c r="Q7" s="1">
        <v>-322.91015625</v>
      </c>
      <c r="R7" s="1">
        <v>4.6766180992126465</v>
      </c>
      <c r="U7" s="3">
        <v>6</v>
      </c>
      <c r="V7">
        <f t="shared" ref="V7:V36" si="16">AVEDEV(A6:C6)</f>
        <v>256.19198438856341</v>
      </c>
      <c r="W7" s="1">
        <f t="shared" si="1"/>
        <v>199.34541829427084</v>
      </c>
      <c r="X7" s="1">
        <f t="shared" si="2"/>
        <v>575.40462239583337</v>
      </c>
      <c r="Y7">
        <f t="shared" ref="Y7:Y36" si="17">AVERAGEA(P6:R6)</f>
        <v>160.30487060546875</v>
      </c>
      <c r="Z7" s="1">
        <f t="shared" si="4"/>
        <v>166.53390502929688</v>
      </c>
      <c r="AA7" s="1">
        <f t="shared" ref="AA7" si="18">AVERAGE(F44:H44)</f>
        <v>-671.33670043945313</v>
      </c>
      <c r="AB7" s="1">
        <f t="shared" ref="AB7" si="19">AVERAGE(K44:M44)</f>
        <v>264.68727620442706</v>
      </c>
      <c r="AC7" s="1">
        <f t="shared" si="7"/>
        <v>-86.166797637939453</v>
      </c>
    </row>
    <row r="8" spans="1:29">
      <c r="A8" s="1">
        <v>-261.779296875</v>
      </c>
      <c r="B8" s="1">
        <v>189.29278564453125</v>
      </c>
      <c r="C8" s="1">
        <v>519.88616943359375</v>
      </c>
      <c r="F8" s="1">
        <v>134.36795043945313</v>
      </c>
      <c r="G8" s="1">
        <v>-356.68765258789063</v>
      </c>
      <c r="H8" s="1">
        <v>-273.037109375</v>
      </c>
      <c r="K8" s="1">
        <v>-760.9713134765625</v>
      </c>
      <c r="L8" s="1">
        <v>-1033.3814697265625</v>
      </c>
      <c r="M8" s="1">
        <v>228.04280090332031</v>
      </c>
      <c r="P8" s="1">
        <v>233.66574096679688</v>
      </c>
      <c r="Q8" s="1">
        <v>55.64453125</v>
      </c>
      <c r="R8" s="1">
        <v>-119.00614166259766</v>
      </c>
      <c r="U8" s="3">
        <v>7</v>
      </c>
      <c r="V8" s="1">
        <f t="shared" ref="V8:V36" si="20">AVERAGE(A7:C7)</f>
        <v>1.9945576985677083</v>
      </c>
      <c r="W8" s="1">
        <f t="shared" si="1"/>
        <v>185.845334370931</v>
      </c>
      <c r="X8" s="1">
        <f t="shared" si="2"/>
        <v>71.738525390625</v>
      </c>
      <c r="Y8" s="1">
        <f t="shared" ref="Y8:Y36" si="21">AVERAGE(P7:R7)</f>
        <v>-194.03515195846558</v>
      </c>
      <c r="Z8" s="1">
        <f t="shared" si="4"/>
        <v>90.527516682942704</v>
      </c>
      <c r="AA8">
        <f t="shared" ref="AA8" si="22">AVERAGEA(F45:H45)</f>
        <v>-350.72487894694012</v>
      </c>
      <c r="AB8">
        <f t="shared" ref="AB8" si="23">AVEDEV(K45:M45)</f>
        <v>94.220438639322921</v>
      </c>
      <c r="AC8" s="1">
        <f t="shared" si="7"/>
        <v>-308.29069010416669</v>
      </c>
    </row>
    <row r="9" spans="1:29">
      <c r="A9" s="1">
        <v>376.91928100585938</v>
      </c>
      <c r="B9" s="1">
        <v>535.18695068359375</v>
      </c>
      <c r="C9" s="1">
        <v>1717.3031005859375</v>
      </c>
      <c r="F9" s="1">
        <v>197.34942626953125</v>
      </c>
      <c r="G9" s="1">
        <v>-7.8036179542541504</v>
      </c>
      <c r="H9" s="1">
        <v>-180.05712890625</v>
      </c>
      <c r="K9" s="1">
        <v>-1052.95361328125</v>
      </c>
      <c r="L9" s="1">
        <v>-1311.9056396484375</v>
      </c>
      <c r="M9" s="1">
        <v>159.34396362304688</v>
      </c>
      <c r="P9" s="1">
        <v>-290.04660034179688</v>
      </c>
      <c r="Q9" s="1">
        <v>251.98828125</v>
      </c>
      <c r="R9" s="1">
        <v>-206.88029479980469</v>
      </c>
      <c r="U9" s="3">
        <v>8</v>
      </c>
      <c r="V9">
        <f t="shared" ref="V9:V36" si="24">AVEDEV(A8:C8)</f>
        <v>273.94167751736114</v>
      </c>
      <c r="W9" s="1">
        <f t="shared" si="1"/>
        <v>-165.11893717447916</v>
      </c>
      <c r="X9" s="1">
        <f t="shared" si="2"/>
        <v>-522.10332743326819</v>
      </c>
      <c r="Y9">
        <f t="shared" ref="Y9:Y36" si="25">AVERAGEA(P8:R8)</f>
        <v>56.768043518066406</v>
      </c>
      <c r="Z9" s="1">
        <f t="shared" si="4"/>
        <v>-286.29396565755206</v>
      </c>
      <c r="AA9" s="1">
        <f t="shared" ref="AA9" si="26">AVERAGE(F46:H46)</f>
        <v>998.82444254557288</v>
      </c>
      <c r="AB9" s="1">
        <f t="shared" ref="AB9" si="27">AVERAGE(K46:M46)</f>
        <v>176.31743113199869</v>
      </c>
      <c r="AC9" s="1">
        <f t="shared" si="7"/>
        <v>-156.32996114095053</v>
      </c>
    </row>
    <row r="10" spans="1:29">
      <c r="A10" s="1">
        <v>204.15690612792969</v>
      </c>
      <c r="B10" s="1">
        <v>1431.9796142578125</v>
      </c>
      <c r="C10" s="1">
        <v>3230.235595703125</v>
      </c>
      <c r="F10" s="1">
        <v>-154.74723815917969</v>
      </c>
      <c r="G10" s="1">
        <v>-182.10710144042969</v>
      </c>
      <c r="H10" s="1">
        <v>-40.6787109375</v>
      </c>
      <c r="K10" s="1">
        <v>-278.89297485351563</v>
      </c>
      <c r="L10" s="1">
        <v>-1081.1329345703125</v>
      </c>
      <c r="M10" s="1">
        <v>154.70372009277344</v>
      </c>
      <c r="P10" s="1">
        <v>-592.1104736328125</v>
      </c>
      <c r="Q10" s="1">
        <v>144.58203125</v>
      </c>
      <c r="R10" s="1">
        <v>151.05412292480469</v>
      </c>
      <c r="U10" s="3">
        <v>9</v>
      </c>
      <c r="V10" s="1">
        <f t="shared" ref="V10:V36" si="28">AVERAGE(A9:C9)</f>
        <v>876.46977742513025</v>
      </c>
      <c r="W10" s="1">
        <f t="shared" si="1"/>
        <v>3.1628931363423667</v>
      </c>
      <c r="X10" s="1">
        <f t="shared" si="2"/>
        <v>-735.1717631022135</v>
      </c>
      <c r="Y10" s="1">
        <f t="shared" ref="Y10:Y36" si="29">AVERAGE(P9:R9)</f>
        <v>-81.646204630533859</v>
      </c>
      <c r="Z10" s="1">
        <f t="shared" si="4"/>
        <v>-531.34200541178382</v>
      </c>
      <c r="AA10">
        <f t="shared" ref="AA10" si="30">AVERAGEA(F47:H47)</f>
        <v>1178.910176595052</v>
      </c>
      <c r="AB10">
        <f t="shared" ref="AB10" si="31">AVEDEV(K47:M47)</f>
        <v>198.83788384331601</v>
      </c>
      <c r="AC10" s="1">
        <f t="shared" si="7"/>
        <v>60.284427642822266</v>
      </c>
    </row>
    <row r="11" spans="1:29">
      <c r="A11" s="1">
        <v>457.59375</v>
      </c>
      <c r="B11" s="1">
        <v>1474.694091796875</v>
      </c>
      <c r="C11" s="1">
        <v>4873.88720703125</v>
      </c>
      <c r="F11" s="1">
        <v>278.23812866210938</v>
      </c>
      <c r="G11" s="1">
        <v>-39.437919616699219</v>
      </c>
      <c r="H11" s="1">
        <v>-145.69091796875</v>
      </c>
      <c r="K11" s="1">
        <v>328.50753784179688</v>
      </c>
      <c r="L11" s="1">
        <v>-65.26263427734375</v>
      </c>
      <c r="M11" s="1">
        <v>246.31346130371094</v>
      </c>
      <c r="P11" s="1">
        <v>393.73187255859375</v>
      </c>
      <c r="Q11" s="1">
        <v>627.55859375</v>
      </c>
      <c r="R11" s="1">
        <v>1640.324462890625</v>
      </c>
      <c r="U11" s="3">
        <v>10</v>
      </c>
      <c r="V11">
        <f t="shared" ref="V11:V36" si="32">AVEDEV(A10:C10)</f>
        <v>1072.0743713378906</v>
      </c>
      <c r="W11" s="1">
        <f t="shared" si="1"/>
        <v>-125.84435017903645</v>
      </c>
      <c r="X11" s="1">
        <f t="shared" si="2"/>
        <v>-401.77406311035156</v>
      </c>
      <c r="Y11">
        <f t="shared" ref="Y11:Y36" si="33">AVERAGEA(P10:R10)</f>
        <v>-98.824773152669266</v>
      </c>
      <c r="Z11" s="1">
        <f t="shared" si="4"/>
        <v>-408.70513407389325</v>
      </c>
      <c r="AA11" s="1">
        <f t="shared" ref="AA11" si="34">AVERAGE(F48:H48)</f>
        <v>748.64175415039063</v>
      </c>
      <c r="AB11" s="1">
        <f t="shared" ref="AB11" si="35">AVERAGE(K48:M48)</f>
        <v>-452.18001047770184</v>
      </c>
      <c r="AC11" s="1">
        <f t="shared" si="7"/>
        <v>69.419647216796875</v>
      </c>
    </row>
    <row r="12" spans="1:29">
      <c r="A12" s="1">
        <v>1962.1126708984375</v>
      </c>
      <c r="B12" s="1">
        <v>3266.06494140625</v>
      </c>
      <c r="C12" s="1">
        <v>7921.03857421875</v>
      </c>
      <c r="F12" s="1">
        <v>771.4422607421875</v>
      </c>
      <c r="G12" s="1">
        <v>1017.0789184570313</v>
      </c>
      <c r="H12" s="1">
        <v>784.3125</v>
      </c>
      <c r="K12" s="1">
        <v>291.53692626953125</v>
      </c>
      <c r="L12" s="1">
        <v>-159.30633544921875</v>
      </c>
      <c r="M12" s="1">
        <v>-25.162721633911133</v>
      </c>
      <c r="P12" s="1">
        <v>1765.44140625</v>
      </c>
      <c r="Q12" s="1">
        <v>2412.26171875</v>
      </c>
      <c r="R12" s="1">
        <v>3352.212158203125</v>
      </c>
      <c r="U12" s="3">
        <v>11</v>
      </c>
      <c r="V12" s="1">
        <f t="shared" ref="V12:V36" si="36">AVERAGE(A11:C11)</f>
        <v>2268.7250162760415</v>
      </c>
      <c r="W12" s="1">
        <f t="shared" si="1"/>
        <v>31.036430358886719</v>
      </c>
      <c r="X12" s="1">
        <f t="shared" si="2"/>
        <v>169.85278828938803</v>
      </c>
      <c r="Y12" s="1">
        <f t="shared" ref="Y12:Y36" si="37">AVERAGE(P11:R11)</f>
        <v>887.20497639973962</v>
      </c>
      <c r="Z12" s="1">
        <f t="shared" si="4"/>
        <v>-513.80003611246741</v>
      </c>
      <c r="AA12">
        <f t="shared" ref="AA12" si="38">AVERAGEA(F49:H49)</f>
        <v>-362.30108896891278</v>
      </c>
      <c r="AB12">
        <f t="shared" ref="AB12" si="39">AVEDEV(K49:M49)</f>
        <v>366.7125244140625</v>
      </c>
      <c r="AC12" s="1">
        <f t="shared" si="7"/>
        <v>-8.2953999837239589</v>
      </c>
    </row>
    <row r="13" spans="1:29">
      <c r="A13" s="1">
        <v>5307.67431640625</v>
      </c>
      <c r="B13" s="1">
        <v>6985.685546875</v>
      </c>
      <c r="C13" s="1">
        <v>12715.001953125</v>
      </c>
      <c r="F13" s="1">
        <v>2568.087890625</v>
      </c>
      <c r="G13" s="1">
        <v>3276.345703125</v>
      </c>
      <c r="H13" s="1">
        <v>2901.29638671875</v>
      </c>
      <c r="K13" s="1">
        <v>-28.742254257202148</v>
      </c>
      <c r="L13" s="1">
        <v>-310.85784912109375</v>
      </c>
      <c r="M13" s="1">
        <v>-359.049072265625</v>
      </c>
      <c r="P13" s="1">
        <v>4070.21337890625</v>
      </c>
      <c r="Q13" s="1">
        <v>6407.17578125</v>
      </c>
      <c r="R13" s="1">
        <v>6088.478515625</v>
      </c>
      <c r="U13" s="3">
        <v>12</v>
      </c>
      <c r="V13">
        <f t="shared" ref="V13:V36" si="40">AVEDEV(A12:C12)</f>
        <v>2358.6443413628472</v>
      </c>
      <c r="W13" s="1">
        <f t="shared" si="1"/>
        <v>857.61122639973962</v>
      </c>
      <c r="X13" s="1">
        <f t="shared" si="2"/>
        <v>35.689289728800453</v>
      </c>
      <c r="Y13">
        <f t="shared" ref="Y13:Y36" si="41">AVERAGEA(P12:R12)</f>
        <v>2509.9717610677085</v>
      </c>
      <c r="Z13" s="1">
        <f t="shared" si="4"/>
        <v>-606.59548695882165</v>
      </c>
      <c r="AA13" s="1">
        <f t="shared" ref="AA13" si="42">AVERAGE(F50:H50)</f>
        <v>-644.39761861165368</v>
      </c>
      <c r="AB13" s="1">
        <f t="shared" ref="AB13" si="43">AVERAGE(K50:M50)</f>
        <v>175.01655197143555</v>
      </c>
      <c r="AC13" s="1">
        <f t="shared" si="7"/>
        <v>-121.09117698669434</v>
      </c>
    </row>
    <row r="14" spans="1:29">
      <c r="A14" s="1">
        <v>11094.345703125</v>
      </c>
      <c r="B14" s="1">
        <v>15328.462890625</v>
      </c>
      <c r="C14" s="1">
        <v>20832.873046875</v>
      </c>
      <c r="F14" s="1">
        <v>10137.3232421875</v>
      </c>
      <c r="G14" s="1">
        <v>6852.68701171875</v>
      </c>
      <c r="H14" s="1">
        <v>6875.5380859375</v>
      </c>
      <c r="K14" s="1">
        <v>-362.90426635742188</v>
      </c>
      <c r="L14" s="1">
        <v>-547.47576904296875</v>
      </c>
      <c r="M14" s="1">
        <v>-522.9315185546875</v>
      </c>
      <c r="P14" s="1">
        <v>10452.6259765625</v>
      </c>
      <c r="Q14" s="1">
        <v>13654.93359375</v>
      </c>
      <c r="R14" s="1">
        <v>8829.1279296875</v>
      </c>
      <c r="U14" s="3">
        <v>13</v>
      </c>
      <c r="V14" s="1">
        <f t="shared" ref="V14:V36" si="44">AVERAGE(A13:C13)</f>
        <v>8336.12060546875</v>
      </c>
      <c r="W14" s="1">
        <f t="shared" si="1"/>
        <v>2915.2433268229165</v>
      </c>
      <c r="X14" s="1">
        <f t="shared" si="2"/>
        <v>-232.88305854797363</v>
      </c>
      <c r="Y14" s="1">
        <f t="shared" ref="Y14:Y36" si="45">AVERAGE(P13:R13)</f>
        <v>5521.955891927083</v>
      </c>
      <c r="Z14" s="1">
        <f t="shared" si="4"/>
        <v>-398.50291442871094</v>
      </c>
      <c r="AA14">
        <f t="shared" ref="AA14" si="46">AVERAGEA(F51:H51)</f>
        <v>-236.99675027529398</v>
      </c>
      <c r="AB14">
        <f t="shared" ref="AB14" si="47">AVEDEV(K51:M51)</f>
        <v>334.36990017361114</v>
      </c>
      <c r="AC14" s="1">
        <f t="shared" si="7"/>
        <v>-43.756749471028648</v>
      </c>
    </row>
    <row r="15" spans="1:29">
      <c r="A15" s="1">
        <v>23915.966796875</v>
      </c>
      <c r="B15" s="1">
        <v>30330.216796875</v>
      </c>
      <c r="C15" s="1">
        <v>33746.8671875</v>
      </c>
      <c r="F15" s="1">
        <v>35129.3671875</v>
      </c>
      <c r="G15" s="1">
        <v>14810.0283203125</v>
      </c>
      <c r="H15" s="1">
        <v>14491.345703125</v>
      </c>
      <c r="K15" s="1">
        <v>-457.31625366210938</v>
      </c>
      <c r="L15" s="1">
        <v>-634.69134521484375</v>
      </c>
      <c r="M15" s="1">
        <v>-712.23193359375</v>
      </c>
      <c r="P15" s="1">
        <v>21747.9296875</v>
      </c>
      <c r="Q15" s="1">
        <v>26458.66796875</v>
      </c>
      <c r="R15" s="1">
        <v>21980.125</v>
      </c>
      <c r="U15" s="3">
        <v>14</v>
      </c>
      <c r="V15">
        <f t="shared" ref="V15:V36" si="48">AVEDEV(A14:C14)</f>
        <v>3387.3194444444448</v>
      </c>
      <c r="W15" s="1">
        <f t="shared" si="1"/>
        <v>7955.182779947917</v>
      </c>
      <c r="X15" s="1">
        <f t="shared" si="2"/>
        <v>-477.77051798502606</v>
      </c>
      <c r="Y15">
        <f t="shared" ref="Y15:Y36" si="49">AVERAGEA(P14:R14)</f>
        <v>10978.895833333334</v>
      </c>
      <c r="Z15" s="1">
        <f t="shared" si="4"/>
        <v>-477.36345036824542</v>
      </c>
      <c r="AA15" s="1">
        <f t="shared" ref="AA15" si="50">AVERAGE(F52:H52)</f>
        <v>-347.42140197753906</v>
      </c>
      <c r="AB15" s="1">
        <f t="shared" ref="AB15" si="51">AVERAGE(K52:M52)</f>
        <v>89.703999837239579</v>
      </c>
      <c r="AC15" s="1">
        <f t="shared" si="7"/>
        <v>111.87196413675944</v>
      </c>
    </row>
    <row r="16" spans="1:29">
      <c r="A16" s="1">
        <v>46705.0625</v>
      </c>
      <c r="B16" s="1">
        <v>56205.9921875</v>
      </c>
      <c r="C16" s="1">
        <v>56016.50390625</v>
      </c>
      <c r="F16" s="1">
        <v>59652.4296875</v>
      </c>
      <c r="G16" s="1">
        <v>29882.439453125</v>
      </c>
      <c r="H16" s="1">
        <v>28039.029296875</v>
      </c>
      <c r="K16" s="1">
        <v>47.330345153808594</v>
      </c>
      <c r="L16" s="1">
        <v>-829.55535888671875</v>
      </c>
      <c r="M16" s="1">
        <v>-1389.4932861328125</v>
      </c>
      <c r="P16" s="1">
        <v>41302.953125</v>
      </c>
      <c r="Q16" s="1">
        <v>50547.08203125</v>
      </c>
      <c r="R16" s="1">
        <v>48119.54296875</v>
      </c>
      <c r="U16" s="3">
        <v>15</v>
      </c>
      <c r="V16" s="1">
        <f t="shared" ref="V16:V36" si="52">AVERAGE(A15:C15)</f>
        <v>29331.016927083332</v>
      </c>
      <c r="W16" s="1">
        <f t="shared" si="1"/>
        <v>21476.913736979168</v>
      </c>
      <c r="X16" s="1">
        <f t="shared" si="2"/>
        <v>-601.41317749023438</v>
      </c>
      <c r="Y16" s="1">
        <f t="shared" ref="Y16:Y36" si="53">AVERAGE(P15:R15)</f>
        <v>23395.57421875</v>
      </c>
      <c r="Z16" s="1">
        <f t="shared" si="4"/>
        <v>-803.9948399861654</v>
      </c>
      <c r="AA16">
        <f t="shared" ref="AA16" si="54">AVERAGEA(F53:H53)</f>
        <v>-680.72886149088538</v>
      </c>
      <c r="AB16">
        <f t="shared" ref="AB16" si="55">AVEDEV(K53:M53)</f>
        <v>285.96727922227643</v>
      </c>
      <c r="AC16" s="1">
        <f t="shared" si="7"/>
        <v>43.542335510253906</v>
      </c>
    </row>
    <row r="17" spans="1:29">
      <c r="A17" s="1">
        <v>84572.3125</v>
      </c>
      <c r="B17" s="1">
        <v>100546.3125</v>
      </c>
      <c r="C17" s="1">
        <v>93606.609375</v>
      </c>
      <c r="F17" s="1">
        <v>92538.15625</v>
      </c>
      <c r="G17" s="1">
        <v>57037.078125</v>
      </c>
      <c r="H17" s="1">
        <v>53183.38671875</v>
      </c>
      <c r="K17" s="1">
        <v>143.18006896972656</v>
      </c>
      <c r="L17" s="1">
        <v>-815.84515380859375</v>
      </c>
      <c r="M17" s="1">
        <v>-1315.649169921875</v>
      </c>
      <c r="P17" s="1">
        <v>73390.3984375</v>
      </c>
      <c r="Q17" s="1">
        <v>88351.34375</v>
      </c>
      <c r="R17" s="1">
        <v>88894.140625</v>
      </c>
      <c r="U17" s="3">
        <v>16</v>
      </c>
      <c r="V17">
        <f t="shared" ref="V17:V36" si="56">AVEDEV(A16:C16)</f>
        <v>4180.5269097222217</v>
      </c>
      <c r="W17" s="1">
        <f t="shared" si="1"/>
        <v>39191.299479166664</v>
      </c>
      <c r="X17" s="1">
        <f t="shared" si="2"/>
        <v>-723.90609995524085</v>
      </c>
      <c r="Y17">
        <f t="shared" ref="Y17:Y36" si="57">AVERAGEA(P16:R16)</f>
        <v>46656.526041666664</v>
      </c>
      <c r="Z17" s="1">
        <f t="shared" si="4"/>
        <v>-696.18871561686194</v>
      </c>
      <c r="AA17" s="1">
        <f t="shared" ref="AA17" si="58">AVERAGE(F54:H54)</f>
        <v>-529.28634134928382</v>
      </c>
      <c r="AB17" s="1">
        <f t="shared" ref="AB17" si="59">AVERAGE(K54:M54)</f>
        <v>-97.796056111653641</v>
      </c>
      <c r="AC17" s="1">
        <f t="shared" si="7"/>
        <v>-17.814633687337238</v>
      </c>
    </row>
    <row r="18" spans="1:29">
      <c r="A18" s="1">
        <v>141308.6875</v>
      </c>
      <c r="B18" s="1">
        <v>163712.484375</v>
      </c>
      <c r="C18" s="1">
        <v>151095.953125</v>
      </c>
      <c r="F18" s="1">
        <v>144186.125</v>
      </c>
      <c r="G18" s="1">
        <v>99750.03125</v>
      </c>
      <c r="H18" s="1">
        <v>94430.3359375</v>
      </c>
      <c r="K18" s="1">
        <v>-121.00146484375</v>
      </c>
      <c r="L18" s="1">
        <v>-679.71697998046875</v>
      </c>
      <c r="M18" s="1">
        <v>-673.24249267578125</v>
      </c>
      <c r="P18" s="1">
        <v>116749.640625</v>
      </c>
      <c r="Q18" s="1">
        <v>138401.734375</v>
      </c>
      <c r="R18" s="1">
        <v>134860.703125</v>
      </c>
      <c r="U18" s="3">
        <v>17</v>
      </c>
      <c r="V18" s="1">
        <f t="shared" ref="V18:V36" si="60">AVERAGE(A17:C17)</f>
        <v>92908.411458333328</v>
      </c>
      <c r="W18" s="1">
        <f t="shared" si="1"/>
        <v>67586.20703125</v>
      </c>
      <c r="X18" s="1">
        <f t="shared" si="2"/>
        <v>-662.77141825358069</v>
      </c>
      <c r="Y18" s="1">
        <f t="shared" ref="Y18:Y36" si="61">AVERAGE(P17:R17)</f>
        <v>83545.294270833328</v>
      </c>
      <c r="Z18" s="1">
        <f t="shared" si="4"/>
        <v>-217.0622533162435</v>
      </c>
      <c r="AA18">
        <f t="shared" ref="AA18" si="62">AVERAGEA(F55:H55)</f>
        <v>919.97786013285315</v>
      </c>
      <c r="AB18">
        <f t="shared" ref="AB18" si="63">AVEDEV(K55:M55)</f>
        <v>626.5224338107638</v>
      </c>
      <c r="AC18" s="1">
        <f t="shared" si="7"/>
        <v>-78.865618387858078</v>
      </c>
    </row>
    <row r="19" spans="1:29">
      <c r="A19" s="1">
        <v>208659.984375</v>
      </c>
      <c r="B19" s="1">
        <v>239515.78125</v>
      </c>
      <c r="C19" s="1">
        <v>218731.5625</v>
      </c>
      <c r="F19" s="1">
        <v>216246.09375</v>
      </c>
      <c r="G19" s="1">
        <v>154938.734375</v>
      </c>
      <c r="H19" s="1">
        <v>149483.828125</v>
      </c>
      <c r="K19" s="1">
        <v>-234.41346740722656</v>
      </c>
      <c r="L19" s="1">
        <v>-429.31927490234375</v>
      </c>
      <c r="M19" s="1">
        <v>-1041.3592529296875</v>
      </c>
      <c r="P19" s="1">
        <v>166816.71875</v>
      </c>
      <c r="Q19" s="1">
        <v>192126.890625</v>
      </c>
      <c r="R19" s="1">
        <v>187757.46875</v>
      </c>
      <c r="U19" s="3">
        <v>18</v>
      </c>
      <c r="V19">
        <f t="shared" ref="V19:V36" si="64">AVEDEV(A18:C18)</f>
        <v>7782.295138888886</v>
      </c>
      <c r="W19" s="1">
        <f t="shared" si="1"/>
        <v>112788.83072916667</v>
      </c>
      <c r="X19" s="1">
        <f t="shared" si="2"/>
        <v>-491.3203125</v>
      </c>
      <c r="Y19">
        <f t="shared" ref="Y19:Y36" si="65">AVERAGEA(P18:R18)</f>
        <v>130004.02604166667</v>
      </c>
      <c r="Z19" s="1">
        <f t="shared" si="4"/>
        <v>-226.13374328613281</v>
      </c>
      <c r="AA19" s="1">
        <f t="shared" ref="AA19" si="66">AVERAGE(F56:H56)</f>
        <v>4159.4123980204267</v>
      </c>
      <c r="AB19" s="1">
        <f t="shared" ref="AB19" si="67">AVERAGE(K56:M56)</f>
        <v>94.933074951171875</v>
      </c>
      <c r="AC19" s="1">
        <f t="shared" si="7"/>
        <v>-149.96607971191406</v>
      </c>
    </row>
    <row r="20" spans="1:29">
      <c r="A20" s="1">
        <v>273360.5</v>
      </c>
      <c r="B20" s="1">
        <v>312139.1875</v>
      </c>
      <c r="C20" s="1">
        <v>285987.03125</v>
      </c>
      <c r="F20" s="1">
        <v>298661.96875</v>
      </c>
      <c r="G20" s="1">
        <v>214333.765625</v>
      </c>
      <c r="H20" s="1">
        <v>211411.28125</v>
      </c>
      <c r="K20" s="1">
        <v>226.28392028808594</v>
      </c>
      <c r="L20" s="1">
        <v>-312.37860107421875</v>
      </c>
      <c r="M20" s="1">
        <v>-1039.73388671875</v>
      </c>
      <c r="P20" s="1">
        <v>215847.265625</v>
      </c>
      <c r="Q20" s="1">
        <v>242667.5</v>
      </c>
      <c r="R20" s="1">
        <v>238989.09375</v>
      </c>
      <c r="U20" s="3">
        <v>19</v>
      </c>
      <c r="V20" s="1">
        <f t="shared" ref="V20:V36" si="68">AVERAGE(A19:C19)</f>
        <v>222302.44270833334</v>
      </c>
      <c r="W20" s="1">
        <f t="shared" si="1"/>
        <v>173556.21875</v>
      </c>
      <c r="X20" s="1">
        <f t="shared" si="2"/>
        <v>-568.36399841308594</v>
      </c>
      <c r="Y20" s="1">
        <f t="shared" ref="Y20:Y36" si="69">AVERAGE(P19:R19)</f>
        <v>182233.69270833334</v>
      </c>
      <c r="Z20" s="1">
        <f t="shared" si="4"/>
        <v>-103.77292887369792</v>
      </c>
      <c r="AA20">
        <f t="shared" ref="AA20" si="70">AVERAGEA(F57:H57)</f>
        <v>4819.5583597819013</v>
      </c>
      <c r="AB20">
        <f t="shared" ref="AB20" si="71">AVEDEV(K57:M57)</f>
        <v>670.55963812934021</v>
      </c>
      <c r="AC20" s="1">
        <f t="shared" si="7"/>
        <v>81.212109883626297</v>
      </c>
    </row>
    <row r="21" spans="1:29">
      <c r="A21" s="1">
        <v>330424.5</v>
      </c>
      <c r="B21" s="1">
        <v>375491.90625</v>
      </c>
      <c r="C21" s="1">
        <v>344890.96875</v>
      </c>
      <c r="F21" s="1">
        <v>375313.9375</v>
      </c>
      <c r="G21" s="1">
        <v>269854.84375</v>
      </c>
      <c r="H21" s="1">
        <v>271166</v>
      </c>
      <c r="K21" s="1">
        <v>305.21566772460938</v>
      </c>
      <c r="L21" s="1">
        <v>-248.56681823730469</v>
      </c>
      <c r="M21" s="1">
        <v>-679.08905029296875</v>
      </c>
      <c r="P21" s="1">
        <v>260473.34375</v>
      </c>
      <c r="Q21" s="1">
        <v>287389.125</v>
      </c>
      <c r="R21" s="1">
        <v>286858.125</v>
      </c>
      <c r="U21" s="3">
        <v>20</v>
      </c>
      <c r="V21">
        <f t="shared" ref="V21:V36" si="72">AVEDEV(A20:C20)</f>
        <v>14429.076388888896</v>
      </c>
      <c r="W21" s="1">
        <f t="shared" si="1"/>
        <v>241469.00520833334</v>
      </c>
      <c r="X21" s="1">
        <f t="shared" si="2"/>
        <v>-375.27618916829425</v>
      </c>
      <c r="Y21">
        <f t="shared" ref="Y21:Y36" si="73">AVERAGEA(P20:R20)</f>
        <v>232501.28645833334</v>
      </c>
      <c r="Z21" s="1">
        <f t="shared" si="4"/>
        <v>416.06705220540363</v>
      </c>
      <c r="AA21" s="1">
        <f t="shared" ref="AA21" si="74">AVERAGE(F58:H58)</f>
        <v>5150.8628438313799</v>
      </c>
      <c r="AB21" s="1">
        <f t="shared" ref="AB21" si="75">AVERAGE(K58:M58)</f>
        <v>296.45123799641925</v>
      </c>
      <c r="AC21" s="1">
        <f t="shared" si="7"/>
        <v>-1.6448647181193035</v>
      </c>
    </row>
    <row r="22" spans="1:29">
      <c r="A22" s="1">
        <v>375491.625</v>
      </c>
      <c r="B22" s="1">
        <v>426725.1875</v>
      </c>
      <c r="C22" s="1">
        <v>395520.1875</v>
      </c>
      <c r="F22" s="1">
        <v>440286.3125</v>
      </c>
      <c r="G22" s="1">
        <v>319272.03125</v>
      </c>
      <c r="H22" s="1">
        <v>325200.625</v>
      </c>
      <c r="K22" s="1">
        <v>360.52243041992188</v>
      </c>
      <c r="L22" s="1">
        <v>-124.71599578857422</v>
      </c>
      <c r="M22" s="1">
        <v>-599.510498046875</v>
      </c>
      <c r="P22" s="1">
        <v>300401.9375</v>
      </c>
      <c r="Q22" s="1">
        <v>324167.09375</v>
      </c>
      <c r="R22" s="1">
        <v>325512.9375</v>
      </c>
      <c r="U22" s="3">
        <v>21</v>
      </c>
      <c r="V22" s="1">
        <f t="shared" ref="V22:V36" si="76">AVERAGE(A21:C21)</f>
        <v>350269.125</v>
      </c>
      <c r="W22" s="1">
        <f t="shared" si="1"/>
        <v>305444.92708333331</v>
      </c>
      <c r="X22" s="1">
        <f t="shared" si="2"/>
        <v>-207.48006693522134</v>
      </c>
      <c r="Y22" s="1">
        <f t="shared" ref="Y22:Y36" si="77">AVERAGE(P21:R21)</f>
        <v>278240.19791666669</v>
      </c>
      <c r="Z22" s="1">
        <f t="shared" si="4"/>
        <v>917.81329345703125</v>
      </c>
      <c r="AA22">
        <f t="shared" ref="AA22" si="78">AVERAGEA(F59:H59)</f>
        <v>4283.6816635131836</v>
      </c>
      <c r="AB22">
        <f t="shared" ref="AB22" si="79">AVEDEV(K59:M59)</f>
        <v>989.18748219807946</v>
      </c>
      <c r="AC22" s="1">
        <f t="shared" si="7"/>
        <v>-7.6971486409505205</v>
      </c>
    </row>
    <row r="23" spans="1:29">
      <c r="A23" s="1">
        <v>410787.65625</v>
      </c>
      <c r="B23" s="1">
        <v>467666.125</v>
      </c>
      <c r="C23" s="1">
        <v>436151.125</v>
      </c>
      <c r="F23" s="1">
        <v>493816.90625</v>
      </c>
      <c r="G23" s="1">
        <v>361701.65625</v>
      </c>
      <c r="H23" s="1">
        <v>371179.28125</v>
      </c>
      <c r="K23" s="1">
        <v>101.71979522705078</v>
      </c>
      <c r="L23" s="1">
        <v>97.970771789550781</v>
      </c>
      <c r="M23" s="1">
        <v>-955.8343505859375</v>
      </c>
      <c r="P23" s="1">
        <v>335530.21875</v>
      </c>
      <c r="Q23" s="1">
        <v>353763.84375</v>
      </c>
      <c r="R23" s="1">
        <v>360281.75</v>
      </c>
      <c r="U23" s="3">
        <v>22</v>
      </c>
      <c r="V23">
        <f t="shared" ref="V23:V36" si="80">AVEDEV(A22:C22)</f>
        <v>18319.680555555562</v>
      </c>
      <c r="W23" s="1">
        <f t="shared" si="1"/>
        <v>361586.32291666669</v>
      </c>
      <c r="X23" s="1">
        <f t="shared" si="2"/>
        <v>-121.23468780517578</v>
      </c>
      <c r="Y23">
        <f t="shared" ref="Y23:Y36" si="81">AVERAGEA(P22:R22)</f>
        <v>316693.98958333331</v>
      </c>
      <c r="Z23" s="1">
        <f t="shared" si="4"/>
        <v>778.39284261067712</v>
      </c>
      <c r="AA23" s="1">
        <f t="shared" ref="AA23" si="82">AVERAGE(F60:H60)</f>
        <v>3999.4444885253906</v>
      </c>
      <c r="AB23" s="1">
        <f t="shared" ref="AB23" si="83">AVERAGE(K60:M60)</f>
        <v>548.28841654459632</v>
      </c>
      <c r="AC23" s="1">
        <f t="shared" si="7"/>
        <v>250.33650716145834</v>
      </c>
    </row>
    <row r="24" spans="1:29">
      <c r="A24" s="1">
        <v>438684.5625</v>
      </c>
      <c r="B24" s="1">
        <v>500649.875</v>
      </c>
      <c r="C24" s="1">
        <v>468457.96875</v>
      </c>
      <c r="F24" s="1">
        <v>536027.25</v>
      </c>
      <c r="G24" s="1">
        <v>397035.34375</v>
      </c>
      <c r="H24" s="1">
        <v>410197.90625</v>
      </c>
      <c r="K24" s="1">
        <v>-99.11016845703125</v>
      </c>
      <c r="L24" s="1">
        <v>223.76692199707031</v>
      </c>
      <c r="M24" s="1">
        <v>-776.447265625</v>
      </c>
      <c r="P24" s="1">
        <v>363724.3125</v>
      </c>
      <c r="Q24" s="1">
        <v>378089.46875</v>
      </c>
      <c r="R24" s="1">
        <v>388225.25</v>
      </c>
      <c r="U24" s="3">
        <v>23</v>
      </c>
      <c r="V24" s="1">
        <f t="shared" ref="V24:V36" si="84">AVERAGE(A23:C23)</f>
        <v>438201.63541666669</v>
      </c>
      <c r="W24" s="1">
        <f t="shared" si="1"/>
        <v>408899.28125</v>
      </c>
      <c r="X24" s="1">
        <f t="shared" si="2"/>
        <v>-252.04792785644531</v>
      </c>
      <c r="Y24" s="1">
        <f t="shared" ref="Y24:Y36" si="85">AVERAGE(P23:R23)</f>
        <v>349858.60416666669</v>
      </c>
      <c r="Z24" s="1">
        <f t="shared" si="4"/>
        <v>946.316162109375</v>
      </c>
      <c r="AA24">
        <f t="shared" ref="AA24" si="86">AVERAGEA(F61:H61)</f>
        <v>4384.5106913248701</v>
      </c>
      <c r="AB24">
        <f t="shared" ref="AB24" si="87">AVEDEV(K61:M61)</f>
        <v>729.72441181871625</v>
      </c>
      <c r="AC24" s="1">
        <f t="shared" si="7"/>
        <v>349.14229583740234</v>
      </c>
    </row>
    <row r="25" spans="1:29">
      <c r="A25" s="1">
        <v>461773.125</v>
      </c>
      <c r="B25" s="1">
        <v>528188.75</v>
      </c>
      <c r="C25" s="1">
        <v>493987.875</v>
      </c>
      <c r="F25" s="1">
        <v>568133.6875</v>
      </c>
      <c r="G25" s="1">
        <v>424963.0625</v>
      </c>
      <c r="H25" s="1">
        <v>442270.53125</v>
      </c>
      <c r="K25" s="1">
        <v>126.09111022949219</v>
      </c>
      <c r="L25" s="1">
        <v>453.08258056640625</v>
      </c>
      <c r="M25" s="1">
        <v>-150.5445556640625</v>
      </c>
      <c r="P25" s="1">
        <v>389295.21875</v>
      </c>
      <c r="Q25" s="1">
        <v>398830.25</v>
      </c>
      <c r="R25" s="1">
        <v>412387.59375</v>
      </c>
      <c r="U25" s="3">
        <v>24</v>
      </c>
      <c r="V25">
        <f t="shared" ref="V25:V36" si="88">AVEDEV(A24:C24)</f>
        <v>20923.826388888894</v>
      </c>
      <c r="W25" s="1">
        <f t="shared" si="1"/>
        <v>447753.5</v>
      </c>
      <c r="X25" s="1">
        <f t="shared" si="2"/>
        <v>-217.26350402832031</v>
      </c>
      <c r="Y25">
        <f t="shared" ref="Y25:Y36" si="89">AVERAGEA(P24:R24)</f>
        <v>376679.67708333331</v>
      </c>
      <c r="Z25" s="1">
        <f t="shared" si="4"/>
        <v>1547.0154825846355</v>
      </c>
      <c r="AA25" s="1">
        <f t="shared" ref="AA25" si="90">AVERAGE(F62:H62)</f>
        <v>4432.942789713542</v>
      </c>
      <c r="AB25" s="1">
        <f t="shared" ref="AB25" si="91">AVERAGE(K62:M62)</f>
        <v>593.10345458984375</v>
      </c>
      <c r="AC25" s="1">
        <f t="shared" si="7"/>
        <v>609.51576741536462</v>
      </c>
    </row>
    <row r="26" spans="1:29">
      <c r="A26" s="1">
        <v>479249.71875</v>
      </c>
      <c r="B26" s="1">
        <v>548257.0625</v>
      </c>
      <c r="C26" s="1">
        <v>514889.03125</v>
      </c>
      <c r="F26" s="1">
        <v>593517.6875</v>
      </c>
      <c r="G26" s="1">
        <v>448725.53125</v>
      </c>
      <c r="H26" s="1">
        <v>469970.34375</v>
      </c>
      <c r="K26" s="1">
        <v>133.19082641601563</v>
      </c>
      <c r="L26" s="1">
        <v>1087.2459716796875</v>
      </c>
      <c r="M26" s="1">
        <v>-294.798095703125</v>
      </c>
      <c r="P26" s="1">
        <v>409897.21875</v>
      </c>
      <c r="Q26" s="1">
        <v>416210.09375</v>
      </c>
      <c r="R26" s="1">
        <v>433657.84375</v>
      </c>
      <c r="U26" s="3">
        <v>25</v>
      </c>
      <c r="V26" s="1">
        <f t="shared" ref="V26:V36" si="92">AVERAGE(A25:C25)</f>
        <v>494649.91666666669</v>
      </c>
      <c r="W26" s="1">
        <f t="shared" si="1"/>
        <v>478455.76041666669</v>
      </c>
      <c r="X26" s="1">
        <f t="shared" si="2"/>
        <v>142.87637837727866</v>
      </c>
      <c r="Y26" s="1">
        <f t="shared" ref="Y26:Y36" si="93">AVERAGE(P25:R25)</f>
        <v>400171.02083333331</v>
      </c>
      <c r="Z26" s="1">
        <f t="shared" si="4"/>
        <v>1879.8346761067708</v>
      </c>
      <c r="AA26">
        <f t="shared" ref="AA26" si="94">AVERAGEA(F63:H63)</f>
        <v>3600.3240966796875</v>
      </c>
      <c r="AB26">
        <f t="shared" ref="AB26" si="95">AVEDEV(K63:M63)</f>
        <v>1027.729227701823</v>
      </c>
      <c r="AC26" s="1">
        <f t="shared" si="7"/>
        <v>1018.0963541666666</v>
      </c>
    </row>
    <row r="27" spans="1:29">
      <c r="A27" s="1">
        <v>491714.84375</v>
      </c>
      <c r="B27" s="1">
        <v>563933.625</v>
      </c>
      <c r="C27" s="1">
        <v>531808.25</v>
      </c>
      <c r="F27" s="1">
        <v>613055.4375</v>
      </c>
      <c r="G27" s="1">
        <v>468220.90625</v>
      </c>
      <c r="H27" s="1">
        <v>492915</v>
      </c>
      <c r="K27" s="1">
        <v>-312.12741088867188</v>
      </c>
      <c r="L27" s="1">
        <v>1147.1514892578125</v>
      </c>
      <c r="M27" s="1">
        <v>-164.27037048339844</v>
      </c>
      <c r="P27" s="1">
        <v>427314.125</v>
      </c>
      <c r="Q27" s="1">
        <v>429723.1875</v>
      </c>
      <c r="R27" s="1">
        <v>451099.1875</v>
      </c>
      <c r="U27" s="3">
        <v>26</v>
      </c>
      <c r="V27">
        <f t="shared" ref="V27:V36" si="96">AVEDEV(A26:C26)</f>
        <v>23254.8125</v>
      </c>
      <c r="W27" s="1">
        <f t="shared" si="1"/>
        <v>504071.1875</v>
      </c>
      <c r="X27" s="1">
        <f t="shared" si="2"/>
        <v>308.54623413085938</v>
      </c>
      <c r="Y27">
        <f t="shared" ref="Y27:Y36" si="97">AVERAGEA(P26:R26)</f>
        <v>419921.71875</v>
      </c>
      <c r="Z27" s="1">
        <f t="shared" si="4"/>
        <v>2549.4090169270835</v>
      </c>
      <c r="AA27" s="1">
        <f t="shared" ref="AA27" si="98">AVERAGE(F64:H64)</f>
        <v>1044.1897939046223</v>
      </c>
      <c r="AB27" s="1">
        <f t="shared" ref="AB27" si="99">AVERAGE(K64:M64)</f>
        <v>987.20625813802087</v>
      </c>
      <c r="AC27" s="1">
        <f t="shared" si="7"/>
        <v>1979.1807454427083</v>
      </c>
    </row>
    <row r="28" spans="1:29">
      <c r="A28" s="1">
        <v>501676.8125</v>
      </c>
      <c r="B28" s="1">
        <v>577209.0625</v>
      </c>
      <c r="C28" s="1">
        <v>545628.875</v>
      </c>
      <c r="F28" s="1">
        <v>628775.8125</v>
      </c>
      <c r="G28" s="1">
        <v>483566.53125</v>
      </c>
      <c r="H28" s="1">
        <v>510300.75</v>
      </c>
      <c r="K28" s="1">
        <v>-494.6097412109375</v>
      </c>
      <c r="L28" s="1">
        <v>732.31866455078125</v>
      </c>
      <c r="M28" s="1">
        <v>324.78469848632813</v>
      </c>
      <c r="P28" s="1">
        <v>440785.21875</v>
      </c>
      <c r="Q28" s="1">
        <v>440371.53125</v>
      </c>
      <c r="R28" s="1">
        <v>466521.84375</v>
      </c>
      <c r="U28" s="3">
        <v>27</v>
      </c>
      <c r="V28" s="1">
        <f t="shared" ref="V28:V36" si="100">AVERAGE(A27:C27)</f>
        <v>529152.23958333337</v>
      </c>
      <c r="W28" s="1">
        <f t="shared" si="1"/>
        <v>524730.44791666663</v>
      </c>
      <c r="X28" s="1">
        <f t="shared" si="2"/>
        <v>223.58456929524741</v>
      </c>
      <c r="Y28" s="1">
        <f t="shared" ref="Y28:Y36" si="101">AVERAGE(P27:R27)</f>
        <v>436045.5</v>
      </c>
      <c r="Z28" s="1">
        <f t="shared" si="4"/>
        <v>3010.4886067708335</v>
      </c>
      <c r="AA28">
        <f t="shared" ref="AA28" si="102">AVERAGEA(F65:H65)</f>
        <v>51.818557739257813</v>
      </c>
      <c r="AB28">
        <f t="shared" ref="AB28" si="103">AVEDEV(K65:M65)</f>
        <v>1246.6958482530381</v>
      </c>
      <c r="AC28" s="1">
        <f t="shared" si="7"/>
        <v>2889.7625732421875</v>
      </c>
    </row>
    <row r="29" spans="1:29">
      <c r="A29" s="1">
        <v>510442.46875</v>
      </c>
      <c r="B29" s="1">
        <v>586667.5</v>
      </c>
      <c r="C29" s="1">
        <v>556977.6875</v>
      </c>
      <c r="F29" s="1">
        <v>640638.75</v>
      </c>
      <c r="G29" s="1">
        <v>496594.03125</v>
      </c>
      <c r="H29" s="1">
        <v>526303</v>
      </c>
      <c r="K29" s="1">
        <v>-68.115478515625</v>
      </c>
      <c r="L29" s="1">
        <v>795.47418212890625</v>
      </c>
      <c r="M29" s="1">
        <v>519.73822021484375</v>
      </c>
      <c r="P29" s="1">
        <v>452240.375</v>
      </c>
      <c r="Q29" s="1">
        <v>448639.4375</v>
      </c>
      <c r="R29" s="1">
        <v>480241.125</v>
      </c>
      <c r="U29" s="3">
        <v>28</v>
      </c>
      <c r="V29">
        <f t="shared" ref="V29:V36" si="104">AVEDEV(A28:C28)</f>
        <v>26552.069444444456</v>
      </c>
      <c r="W29" s="1">
        <f t="shared" si="1"/>
        <v>540881.03125</v>
      </c>
      <c r="X29" s="1">
        <f t="shared" si="2"/>
        <v>187.49787394205728</v>
      </c>
      <c r="Y29">
        <f t="shared" ref="Y29:Y36" si="105">AVERAGEA(P28:R28)</f>
        <v>449226.19791666669</v>
      </c>
      <c r="Z29" s="1">
        <f t="shared" si="4"/>
        <v>3763.8545735677085</v>
      </c>
      <c r="AA29" s="1">
        <f t="shared" ref="AA29" si="106">AVERAGE(F66:H66)</f>
        <v>-527.24540456136071</v>
      </c>
      <c r="AB29" s="1">
        <f t="shared" ref="AB29" si="107">AVERAGE(K66:M66)</f>
        <v>1375.0759887695313</v>
      </c>
      <c r="AC29" s="1">
        <f t="shared" si="7"/>
        <v>4794.076090494792</v>
      </c>
    </row>
    <row r="30" spans="1:29">
      <c r="A30" s="1">
        <v>516392.21875</v>
      </c>
      <c r="B30" s="1">
        <v>593593.4375</v>
      </c>
      <c r="C30" s="1">
        <v>567218.125</v>
      </c>
      <c r="F30" s="1">
        <v>650191.625</v>
      </c>
      <c r="G30" s="1">
        <v>507305.4375</v>
      </c>
      <c r="H30" s="1">
        <v>539443.9375</v>
      </c>
      <c r="K30" s="1">
        <v>-12.500128746032715</v>
      </c>
      <c r="L30" s="1">
        <v>1161.3602294921875</v>
      </c>
      <c r="M30" s="1">
        <v>558.28936767578125</v>
      </c>
      <c r="P30" s="1">
        <v>461114.0625</v>
      </c>
      <c r="Q30" s="1">
        <v>455685.84375</v>
      </c>
      <c r="R30" s="1">
        <v>489751.53125</v>
      </c>
      <c r="U30" s="3">
        <v>29</v>
      </c>
      <c r="V30" s="1">
        <f t="shared" ref="V30:V36" si="108">AVERAGE(A29:C29)</f>
        <v>551362.55208333337</v>
      </c>
      <c r="W30" s="1">
        <f t="shared" si="1"/>
        <v>554511.92708333337</v>
      </c>
      <c r="X30" s="1">
        <f t="shared" si="2"/>
        <v>415.698974609375</v>
      </c>
      <c r="Y30" s="1">
        <f t="shared" ref="Y30:Y36" si="109">AVERAGE(P29:R29)</f>
        <v>460373.64583333331</v>
      </c>
      <c r="Z30" s="1">
        <f t="shared" si="4"/>
        <v>5698.725911458333</v>
      </c>
      <c r="AA30">
        <f t="shared" ref="AA30" si="110">AVERAGEA(F67:H67)</f>
        <v>-482.77817789713544</v>
      </c>
      <c r="AB30">
        <f t="shared" ref="AB30" si="111">AVEDEV(K67:M67)</f>
        <v>1381.9645538330078</v>
      </c>
      <c r="AC30" s="1">
        <f t="shared" si="7"/>
        <v>8257.51220703125</v>
      </c>
    </row>
    <row r="31" spans="1:29">
      <c r="A31" s="1">
        <v>520509.625</v>
      </c>
      <c r="B31" s="1">
        <v>598549.8125</v>
      </c>
      <c r="C31" s="1">
        <v>573559.125</v>
      </c>
      <c r="F31" s="1">
        <v>656245.875</v>
      </c>
      <c r="G31" s="1">
        <v>515339</v>
      </c>
      <c r="H31" s="1">
        <v>550314.4375</v>
      </c>
      <c r="K31" s="1">
        <v>-28.380876541137695</v>
      </c>
      <c r="L31" s="1">
        <v>1373.0079345703125</v>
      </c>
      <c r="M31" s="1">
        <v>519.16864013671875</v>
      </c>
      <c r="P31" s="1">
        <v>468166.90625</v>
      </c>
      <c r="Q31" s="1">
        <v>461526.09375</v>
      </c>
      <c r="R31" s="1">
        <v>498740.90625</v>
      </c>
      <c r="U31" s="3">
        <v>30</v>
      </c>
      <c r="V31">
        <f t="shared" ref="V31:V36" si="112">AVEDEV(A30:C30)</f>
        <v>28450.472222222208</v>
      </c>
      <c r="W31" s="1">
        <f t="shared" si="1"/>
        <v>565647</v>
      </c>
      <c r="X31" s="1">
        <f t="shared" si="2"/>
        <v>569.04982280731201</v>
      </c>
      <c r="Y31">
        <f t="shared" ref="Y31:Y36" si="113">AVERAGEA(P30:R30)</f>
        <v>468850.47916666669</v>
      </c>
      <c r="Z31" s="1">
        <f t="shared" si="4"/>
        <v>8689.22216796875</v>
      </c>
      <c r="AA31" s="1">
        <f t="shared" ref="AA31" si="114">AVERAGE(F68:H68)</f>
        <v>-90.271807352701828</v>
      </c>
      <c r="AB31" s="1">
        <f t="shared" ref="AB31" si="115">AVERAGE(K68:M68)</f>
        <v>967.13321940104163</v>
      </c>
      <c r="AC31" s="1">
        <f t="shared" si="7"/>
        <v>14248.626627604166</v>
      </c>
    </row>
    <row r="32" spans="1:29">
      <c r="A32" s="1">
        <v>524703.9375</v>
      </c>
      <c r="B32" s="1">
        <v>603763.125</v>
      </c>
      <c r="C32" s="1">
        <v>578498.3125</v>
      </c>
      <c r="F32" s="1">
        <v>660221.375</v>
      </c>
      <c r="G32" s="1">
        <v>523227.125</v>
      </c>
      <c r="H32" s="1">
        <v>559944.6875</v>
      </c>
      <c r="K32" s="1">
        <v>-172.23428344726563</v>
      </c>
      <c r="L32" s="1">
        <v>1747.1907958984375</v>
      </c>
      <c r="M32" s="1">
        <v>639.68072509765625</v>
      </c>
      <c r="P32" s="1">
        <v>473073.03125</v>
      </c>
      <c r="Q32" s="1">
        <v>466696.6875</v>
      </c>
      <c r="R32" s="1">
        <v>506517.125</v>
      </c>
      <c r="U32" s="3">
        <v>31</v>
      </c>
      <c r="V32" s="1">
        <f t="shared" ref="V32:V36" si="116">AVERAGE(A31:C31)</f>
        <v>564206.1875</v>
      </c>
      <c r="W32" s="1">
        <f t="shared" si="1"/>
        <v>573966.4375</v>
      </c>
      <c r="X32" s="1">
        <f t="shared" si="2"/>
        <v>621.26523272196448</v>
      </c>
      <c r="Y32" s="1">
        <f t="shared" ref="Y32:Y36" si="117">AVERAGE(P31:R31)</f>
        <v>476144.63541666669</v>
      </c>
      <c r="Z32" s="1">
        <f t="shared" si="4"/>
        <v>14525.744791666666</v>
      </c>
      <c r="AA32">
        <f t="shared" ref="AA32" si="118">AVERAGEA(F69:H69)</f>
        <v>390.58997599283856</v>
      </c>
      <c r="AB32">
        <f t="shared" ref="AB32" si="119">AVEDEV(K69:M69)</f>
        <v>1305.840894487169</v>
      </c>
      <c r="AC32" s="1">
        <f t="shared" si="7"/>
        <v>26018.514322916668</v>
      </c>
    </row>
    <row r="33" spans="1:29">
      <c r="A33" s="1">
        <v>527184.25</v>
      </c>
      <c r="B33" s="1">
        <v>607337.9375</v>
      </c>
      <c r="C33" s="1">
        <v>583824.875</v>
      </c>
      <c r="F33" s="1">
        <v>662267.3125</v>
      </c>
      <c r="G33" s="1">
        <v>529761.9375</v>
      </c>
      <c r="H33" s="1">
        <v>567910.1875</v>
      </c>
      <c r="K33" s="1">
        <v>-42.314247131347656</v>
      </c>
      <c r="L33" s="1">
        <v>2051.72119140625</v>
      </c>
      <c r="M33" s="1">
        <v>983.77093505859375</v>
      </c>
      <c r="P33" s="1">
        <v>476682.90625</v>
      </c>
      <c r="Q33" s="1">
        <v>470963.28125</v>
      </c>
      <c r="R33" s="1">
        <v>513426.21875</v>
      </c>
      <c r="U33" s="3">
        <v>32</v>
      </c>
      <c r="V33">
        <f t="shared" ref="V33:V36" si="120">AVEDEV(A32:C32)</f>
        <v>29523.013888888876</v>
      </c>
      <c r="W33" s="1">
        <f t="shared" si="1"/>
        <v>581131.0625</v>
      </c>
      <c r="X33" s="1">
        <f t="shared" si="2"/>
        <v>738.212412516276</v>
      </c>
      <c r="Y33">
        <f t="shared" ref="Y33:Y36" si="121">AVERAGEA(P32:R32)</f>
        <v>482095.61458333331</v>
      </c>
      <c r="Z33" s="1">
        <f t="shared" si="4"/>
        <v>25082.458984375</v>
      </c>
      <c r="AA33" s="1">
        <f t="shared" ref="AA33" si="122">AVERAGE(F70:H70)</f>
        <v>1185.8424275716145</v>
      </c>
      <c r="AB33" s="1">
        <f t="shared" ref="AB33" si="123">AVERAGE(K70:M70)</f>
        <v>1819.4248148600261</v>
      </c>
      <c r="AC33" s="1">
        <f t="shared" si="7"/>
        <v>47411.06640625</v>
      </c>
    </row>
    <row r="34" spans="1:29">
      <c r="A34" s="1">
        <v>527356.125</v>
      </c>
      <c r="B34" s="1">
        <v>608134.8125</v>
      </c>
      <c r="C34" s="1">
        <v>587114</v>
      </c>
      <c r="F34" s="1">
        <v>662324.5625</v>
      </c>
      <c r="G34" s="1">
        <v>534666.1875</v>
      </c>
      <c r="H34" s="1">
        <v>573693.5</v>
      </c>
      <c r="K34" s="1">
        <v>724.46124267578125</v>
      </c>
      <c r="L34" s="1">
        <v>2494.798583984375</v>
      </c>
      <c r="M34" s="1">
        <v>1987.4119873046875</v>
      </c>
      <c r="P34" s="1">
        <v>479598.375</v>
      </c>
      <c r="Q34" s="1">
        <v>474094.25</v>
      </c>
      <c r="R34" s="1">
        <v>520215.78125</v>
      </c>
      <c r="U34" s="3">
        <v>33</v>
      </c>
      <c r="V34" s="1">
        <f t="shared" ref="V34:V36" si="124">AVERAGE(A33:C33)</f>
        <v>572782.35416666663</v>
      </c>
      <c r="W34" s="1">
        <f t="shared" si="1"/>
        <v>586646.47916666663</v>
      </c>
      <c r="X34" s="1">
        <f t="shared" si="2"/>
        <v>997.72595977783203</v>
      </c>
      <c r="Y34" s="1">
        <f t="shared" ref="Y34:Y36" si="125">AVERAGE(P33:R33)</f>
        <v>487024.13541666669</v>
      </c>
      <c r="Z34" s="1">
        <f t="shared" si="4"/>
        <v>44011.294270833336</v>
      </c>
      <c r="AA34">
        <f t="shared" ref="AA34" si="126">AVERAGEA(F71:H71)</f>
        <v>2647.0545247395835</v>
      </c>
      <c r="AB34">
        <f t="shared" ref="AB34" si="127">AVEDEV(K71:M71)</f>
        <v>1697.3396467632717</v>
      </c>
      <c r="AC34" s="1">
        <f t="shared" si="7"/>
        <v>83919.15625</v>
      </c>
    </row>
    <row r="35" spans="1:29">
      <c r="A35" s="1">
        <v>527421</v>
      </c>
      <c r="B35" s="1">
        <v>608218.5</v>
      </c>
      <c r="C35" s="1">
        <v>589531.375</v>
      </c>
      <c r="F35" s="1">
        <v>662872.9375</v>
      </c>
      <c r="G35" s="1">
        <v>536582.375</v>
      </c>
      <c r="H35" s="1">
        <v>577963.5625</v>
      </c>
      <c r="K35" s="1">
        <v>664.02581787109375</v>
      </c>
      <c r="L35" s="1">
        <v>2624.1337890625</v>
      </c>
      <c r="M35" s="1">
        <v>3132.373291015625</v>
      </c>
      <c r="P35" s="1">
        <v>481080.8125</v>
      </c>
      <c r="Q35" s="1">
        <v>475501.1875</v>
      </c>
      <c r="R35" s="1">
        <v>524724.5</v>
      </c>
      <c r="U35" s="3">
        <v>34</v>
      </c>
      <c r="V35">
        <f t="shared" ref="V35:V36" si="128">AVEDEV(A34:C34)</f>
        <v>31230.347222222208</v>
      </c>
      <c r="W35" s="1">
        <f t="shared" si="1"/>
        <v>590228.08333333337</v>
      </c>
      <c r="X35" s="1">
        <f t="shared" si="2"/>
        <v>1735.5572713216145</v>
      </c>
      <c r="Y35">
        <f t="shared" ref="Y35:Y36" si="129">AVERAGEA(P34:R34)</f>
        <v>491302.80208333331</v>
      </c>
      <c r="Z35" s="1">
        <f t="shared" si="4"/>
        <v>75521.84765625</v>
      </c>
      <c r="AA35" s="1">
        <f t="shared" ref="AA35" si="130">AVERAGE(F72:H72)</f>
        <v>5000.2755635579424</v>
      </c>
      <c r="AB35" s="1">
        <f t="shared" ref="AB35" si="131">AVERAGE(K72:M72)</f>
        <v>2056.4820454915366</v>
      </c>
      <c r="AC35" s="1">
        <f t="shared" si="7"/>
        <v>139933.40104166666</v>
      </c>
    </row>
    <row r="36" spans="1:29">
      <c r="D36" t="s">
        <v>19</v>
      </c>
      <c r="I36" t="s">
        <v>21</v>
      </c>
      <c r="N36" t="s">
        <v>23</v>
      </c>
      <c r="S36" t="s">
        <v>25</v>
      </c>
      <c r="U36" s="3">
        <v>35</v>
      </c>
      <c r="V36" s="1">
        <f t="shared" ref="V36" si="132">AVERAGE(A35:C35)</f>
        <v>575056.95833333337</v>
      </c>
      <c r="W36" s="1">
        <f t="shared" si="1"/>
        <v>592472.95833333337</v>
      </c>
      <c r="X36" s="1">
        <f t="shared" si="2"/>
        <v>2140.1776326497397</v>
      </c>
      <c r="Y36" s="1">
        <f t="shared" ref="Y36" si="133">AVERAGE(P35:R35)</f>
        <v>493768.83333333331</v>
      </c>
      <c r="Z36" s="1">
        <f t="shared" si="4"/>
        <v>114461.03125</v>
      </c>
      <c r="AA36">
        <f t="shared" ref="AA36" si="134">AVERAGEA(F73:H73)</f>
        <v>8081.4838816324873</v>
      </c>
      <c r="AB36">
        <f t="shared" ref="AB36" si="135">AVEDEV(K73:M73)</f>
        <v>2067.5319552951387</v>
      </c>
      <c r="AC36" s="1">
        <f>AVERAGE(P73:R73)</f>
        <v>200995.23958333334</v>
      </c>
    </row>
    <row r="39" spans="1:29">
      <c r="A39" s="1">
        <v>-467.17364501953125</v>
      </c>
      <c r="B39" s="1">
        <v>3359.804931640625</v>
      </c>
      <c r="C39" s="1">
        <v>571.30047607421875</v>
      </c>
      <c r="F39" s="1">
        <v>1028.7916259765625</v>
      </c>
      <c r="G39" s="1">
        <v>192.76129150390625</v>
      </c>
      <c r="H39" s="1">
        <v>8293.888671875</v>
      </c>
      <c r="K39" s="1">
        <v>-262.18023681640625</v>
      </c>
      <c r="L39" s="1">
        <v>288.868896484375</v>
      </c>
      <c r="M39" s="1">
        <v>1085.63134765625</v>
      </c>
      <c r="P39" s="1">
        <v>251.39338684082031</v>
      </c>
      <c r="Q39" s="1">
        <v>54.956764221191406</v>
      </c>
      <c r="R39" s="1">
        <v>550.1173095703125</v>
      </c>
    </row>
    <row r="40" spans="1:29">
      <c r="A40" s="1">
        <v>-235.33938598632813</v>
      </c>
      <c r="B40" s="1">
        <v>2336.57763671875</v>
      </c>
      <c r="C40" s="1">
        <v>516.07275390625</v>
      </c>
      <c r="F40" s="1">
        <v>985.29693603515625</v>
      </c>
      <c r="G40" s="1">
        <v>116.04932403564453</v>
      </c>
      <c r="H40" s="1">
        <v>3689.704345703125</v>
      </c>
      <c r="K40" s="1">
        <v>-326.79571533203125</v>
      </c>
      <c r="L40" s="1">
        <v>334.28787231445313</v>
      </c>
      <c r="M40" s="1">
        <v>811.765380859375</v>
      </c>
      <c r="P40" s="1">
        <v>234.82429504394531</v>
      </c>
      <c r="Q40" s="1">
        <v>-239.45579528808594</v>
      </c>
      <c r="R40" s="1">
        <v>447.90304565429688</v>
      </c>
    </row>
    <row r="41" spans="1:29">
      <c r="A41" s="1">
        <v>581.307373046875</v>
      </c>
      <c r="B41" s="1">
        <v>1794.170654296875</v>
      </c>
      <c r="C41" s="1">
        <v>413.3919677734375</v>
      </c>
      <c r="F41" s="1">
        <v>566.50537109375</v>
      </c>
      <c r="G41" s="1">
        <v>83.259231567382813</v>
      </c>
      <c r="H41" s="1">
        <v>111.41826629638672</v>
      </c>
      <c r="K41" s="1">
        <v>-390.66513061523438</v>
      </c>
      <c r="L41" s="1">
        <v>272.52322387695313</v>
      </c>
      <c r="M41" s="1">
        <v>24.903230667114258</v>
      </c>
      <c r="P41" s="1">
        <v>355.80209350585938</v>
      </c>
      <c r="Q41" s="1">
        <v>-351.79022216796875</v>
      </c>
      <c r="R41" s="1">
        <v>623.07159423828125</v>
      </c>
    </row>
    <row r="42" spans="1:29">
      <c r="A42" s="1">
        <v>721.18853759765625</v>
      </c>
      <c r="B42" s="1">
        <v>1713.404296875</v>
      </c>
      <c r="C42" s="1">
        <v>497.28146362304688</v>
      </c>
      <c r="F42" s="1">
        <v>180.47944641113281</v>
      </c>
      <c r="G42" s="1">
        <v>304.75430297851563</v>
      </c>
      <c r="H42" s="1">
        <v>-863.8209228515625</v>
      </c>
      <c r="K42" s="1">
        <v>-143.3197021484375</v>
      </c>
      <c r="L42" s="1">
        <v>4.0007724761962891</v>
      </c>
      <c r="M42" s="1">
        <v>43.912200927734375</v>
      </c>
      <c r="P42" s="1">
        <v>337.33456420898438</v>
      </c>
      <c r="Q42" s="1">
        <v>-109.97232818603516</v>
      </c>
      <c r="R42" s="1">
        <v>148.31826782226563</v>
      </c>
    </row>
    <row r="43" spans="1:29">
      <c r="A43" s="1">
        <v>538.53057861328125</v>
      </c>
      <c r="B43" s="1">
        <v>140.90364074707031</v>
      </c>
      <c r="C43" s="1">
        <v>532.43658447265625</v>
      </c>
      <c r="F43" s="1">
        <v>-123.39804077148438</v>
      </c>
      <c r="G43" s="1">
        <v>88.538421630859375</v>
      </c>
      <c r="H43" s="1">
        <v>-1263.94287109375</v>
      </c>
      <c r="K43" s="1">
        <v>-136.61489868164063</v>
      </c>
      <c r="L43" s="1">
        <v>-25.716989517211914</v>
      </c>
      <c r="M43" s="1">
        <v>909.264892578125</v>
      </c>
      <c r="P43" s="1">
        <v>390.17953491210938</v>
      </c>
      <c r="Q43" s="1">
        <v>88.3221435546875</v>
      </c>
      <c r="R43" s="1">
        <v>-174.63818359375</v>
      </c>
    </row>
    <row r="44" spans="1:29">
      <c r="A44" s="1">
        <v>514.8179931640625</v>
      </c>
      <c r="B44" s="1">
        <v>-302.0189208984375</v>
      </c>
      <c r="C44" s="1">
        <v>286.80264282226563</v>
      </c>
      <c r="F44" s="1">
        <v>-140.26771545410156</v>
      </c>
      <c r="G44" s="1">
        <v>-93.177444458007813</v>
      </c>
      <c r="H44" s="1">
        <v>-1780.56494140625</v>
      </c>
      <c r="K44" s="1">
        <v>-12.06634521484375</v>
      </c>
      <c r="L44" s="1">
        <v>203.84259033203125</v>
      </c>
      <c r="M44" s="1">
        <v>602.28558349609375</v>
      </c>
      <c r="P44" s="1">
        <v>279.86044311523438</v>
      </c>
      <c r="Q44" s="1">
        <v>-32.625576019287109</v>
      </c>
      <c r="R44" s="1">
        <v>-505.73526000976563</v>
      </c>
    </row>
    <row r="45" spans="1:29">
      <c r="A45" s="1">
        <v>398.3006591796875</v>
      </c>
      <c r="B45" s="1">
        <v>-272.24618530273438</v>
      </c>
      <c r="C45" s="1">
        <v>145.528076171875</v>
      </c>
      <c r="F45" s="1">
        <v>231.26103210449219</v>
      </c>
      <c r="G45" s="1">
        <v>-306.475341796875</v>
      </c>
      <c r="H45" s="1">
        <v>-976.9603271484375</v>
      </c>
      <c r="K45" s="1">
        <v>399.75173950195313</v>
      </c>
      <c r="L45" s="1">
        <v>159.64826965332031</v>
      </c>
      <c r="M45" s="1">
        <v>343.53677368164063</v>
      </c>
      <c r="P45" s="1">
        <v>-242.14613342285156</v>
      </c>
      <c r="Q45" s="1">
        <v>-130.92485046386719</v>
      </c>
      <c r="R45" s="1">
        <v>-551.80108642578125</v>
      </c>
    </row>
    <row r="46" spans="1:29">
      <c r="A46" s="1">
        <v>-441.18539428710938</v>
      </c>
      <c r="B46" s="1">
        <v>-218.64532470703125</v>
      </c>
      <c r="C46" s="1">
        <v>-199.05117797851563</v>
      </c>
      <c r="F46" s="1">
        <v>485.520263671875</v>
      </c>
      <c r="G46" s="1">
        <v>-392.02716064453125</v>
      </c>
      <c r="H46" s="1">
        <v>2902.980224609375</v>
      </c>
      <c r="K46" s="1">
        <v>153.11279296875</v>
      </c>
      <c r="L46" s="1">
        <v>69.946128845214844</v>
      </c>
      <c r="M46" s="1">
        <v>305.89337158203125</v>
      </c>
      <c r="P46" s="1">
        <v>-364.88711547851563</v>
      </c>
      <c r="Q46" s="1">
        <v>38.904769897460938</v>
      </c>
      <c r="R46" s="1">
        <v>-143.00753784179688</v>
      </c>
    </row>
    <row r="47" spans="1:29">
      <c r="A47" s="1">
        <v>-507.07769775390625</v>
      </c>
      <c r="B47" s="1">
        <v>-202.29444885253906</v>
      </c>
      <c r="C47" s="1">
        <v>-884.65386962890625</v>
      </c>
      <c r="F47" s="1">
        <v>342.50604248046875</v>
      </c>
      <c r="G47" s="1">
        <v>-265.6414794921875</v>
      </c>
      <c r="H47" s="1">
        <v>3459.865966796875</v>
      </c>
      <c r="K47" s="1">
        <v>-361.26443481445313</v>
      </c>
      <c r="L47" s="1">
        <v>-148.28726196289063</v>
      </c>
      <c r="M47" s="1">
        <v>192.60939025878906</v>
      </c>
      <c r="P47" s="1">
        <v>-249.31556701660156</v>
      </c>
      <c r="Q47" s="1">
        <v>382.09378051757813</v>
      </c>
      <c r="R47" s="1">
        <v>48.075069427490234</v>
      </c>
    </row>
    <row r="48" spans="1:29">
      <c r="A48" s="1">
        <v>18.092514038085938</v>
      </c>
      <c r="B48" s="1">
        <v>-412.50607299804688</v>
      </c>
      <c r="C48" s="1">
        <v>-831.70184326171875</v>
      </c>
      <c r="F48" s="1">
        <v>-191.55113220214844</v>
      </c>
      <c r="G48" s="1">
        <v>156.64656066894531</v>
      </c>
      <c r="H48" s="1">
        <v>2280.829833984375</v>
      </c>
      <c r="K48" s="1">
        <v>-355.49322509765625</v>
      </c>
      <c r="L48" s="1">
        <v>-887.9581298828125</v>
      </c>
      <c r="M48" s="1">
        <v>-113.08867645263672</v>
      </c>
      <c r="P48" s="1">
        <v>-299.7752685546875</v>
      </c>
      <c r="Q48" s="1">
        <v>309.89996337890625</v>
      </c>
      <c r="R48" s="1">
        <v>198.13424682617188</v>
      </c>
    </row>
    <row r="49" spans="1:18">
      <c r="A49" s="1">
        <v>258.52835083007813</v>
      </c>
      <c r="B49" s="1">
        <v>-1746.6473388671875</v>
      </c>
      <c r="C49" s="1">
        <v>-53.281120300292969</v>
      </c>
      <c r="F49" s="1">
        <v>-319.79190063476563</v>
      </c>
      <c r="G49" s="1">
        <v>92.758811950683594</v>
      </c>
      <c r="H49" s="1">
        <v>-859.87017822265625</v>
      </c>
      <c r="K49" s="1">
        <v>288.67645263671875</v>
      </c>
      <c r="L49" s="1">
        <v>-794.9571533203125</v>
      </c>
      <c r="M49" s="1">
        <v>-228.3843994140625</v>
      </c>
      <c r="P49" s="1">
        <v>-484.8912353515625</v>
      </c>
      <c r="Q49" s="1">
        <v>103.75692749023438</v>
      </c>
      <c r="R49" s="1">
        <v>356.24810791015625</v>
      </c>
    </row>
    <row r="50" spans="1:18">
      <c r="A50" s="1">
        <v>-120.95771026611328</v>
      </c>
      <c r="B50" s="1">
        <v>-1841.4840087890625</v>
      </c>
      <c r="C50" s="1">
        <v>142.65525817871094</v>
      </c>
      <c r="F50" s="1">
        <v>-246.54048156738281</v>
      </c>
      <c r="G50" s="1">
        <v>-319.57424926757813</v>
      </c>
      <c r="H50" s="1">
        <v>-1367.078125</v>
      </c>
      <c r="K50" s="1">
        <v>480.04531860351563</v>
      </c>
      <c r="L50" s="1">
        <v>104.31726837158203</v>
      </c>
      <c r="M50" s="1">
        <v>-59.312931060791016</v>
      </c>
      <c r="P50" s="1">
        <v>-508.4525146484375</v>
      </c>
      <c r="Q50" s="1">
        <v>30.879522323608398</v>
      </c>
      <c r="R50" s="1">
        <v>114.29946136474609</v>
      </c>
    </row>
    <row r="51" spans="1:18">
      <c r="A51" s="1">
        <v>-364.49844360351563</v>
      </c>
      <c r="B51" s="1">
        <v>-1030.0550537109375</v>
      </c>
      <c r="C51" s="1">
        <v>199.04475402832031</v>
      </c>
      <c r="F51" s="1">
        <v>-319.91015625</v>
      </c>
      <c r="G51" s="1">
        <v>-387.14559936523438</v>
      </c>
      <c r="H51" s="1">
        <v>-3.934495210647583</v>
      </c>
      <c r="K51" s="1">
        <v>389.2540283203125</v>
      </c>
      <c r="L51" s="1">
        <v>533.5213623046875</v>
      </c>
      <c r="M51" s="1">
        <v>-290.944580078125</v>
      </c>
      <c r="P51" s="1">
        <v>-330.8809814453125</v>
      </c>
      <c r="Q51" s="1">
        <v>284.75991821289063</v>
      </c>
      <c r="R51" s="1">
        <v>-85.149185180664063</v>
      </c>
    </row>
    <row r="52" spans="1:18">
      <c r="A52" s="1">
        <v>-1131.1094970703125</v>
      </c>
      <c r="B52" s="1">
        <v>-288.82916259765625</v>
      </c>
      <c r="C52" s="1">
        <v>-12.151691436767578</v>
      </c>
      <c r="F52" s="1">
        <v>-612.94390869140625</v>
      </c>
      <c r="G52" s="1">
        <v>-138.90443420410156</v>
      </c>
      <c r="H52" s="1">
        <v>-290.41586303710938</v>
      </c>
      <c r="K52" s="1">
        <v>271.60726928710938</v>
      </c>
      <c r="L52" s="1">
        <v>470.83877563476563</v>
      </c>
      <c r="M52" s="1">
        <v>-473.33404541015625</v>
      </c>
      <c r="P52" s="1">
        <v>93.596817016601563</v>
      </c>
      <c r="Q52" s="1">
        <v>230.57002258300781</v>
      </c>
      <c r="R52" s="1">
        <v>11.449052810668945</v>
      </c>
    </row>
    <row r="53" spans="1:18">
      <c r="A53" s="1">
        <v>-1401.2674560546875</v>
      </c>
      <c r="B53" s="1">
        <v>-122.23610687255859</v>
      </c>
      <c r="C53" s="1">
        <v>-888.48095703125</v>
      </c>
      <c r="F53" s="1">
        <v>-557.5870361328125</v>
      </c>
      <c r="G53" s="1">
        <v>-136.09295654296875</v>
      </c>
      <c r="H53" s="1">
        <v>-1348.506591796875</v>
      </c>
      <c r="K53" s="1">
        <v>213.49957275390625</v>
      </c>
      <c r="L53" s="1">
        <v>38.281162261962891</v>
      </c>
      <c r="M53" s="1">
        <v>-517.5360107421875</v>
      </c>
      <c r="P53" s="1">
        <v>138.35585021972656</v>
      </c>
      <c r="Q53" s="1">
        <v>-113.69019317626953</v>
      </c>
      <c r="R53" s="1">
        <v>105.96134948730469</v>
      </c>
    </row>
    <row r="54" spans="1:18">
      <c r="A54" s="1">
        <v>-1150.6519775390625</v>
      </c>
      <c r="B54" s="1">
        <v>-151.59617614746094</v>
      </c>
      <c r="C54" s="1">
        <v>-786.3179931640625</v>
      </c>
      <c r="F54" s="1">
        <v>-134.53872680664063</v>
      </c>
      <c r="G54" s="1">
        <v>-142.99632263183594</v>
      </c>
      <c r="H54" s="1">
        <v>-1310.323974609375</v>
      </c>
      <c r="K54" s="1">
        <v>152.50125122070313</v>
      </c>
      <c r="L54" s="1">
        <v>164.25090026855469</v>
      </c>
      <c r="M54" s="1">
        <v>-610.14031982421875</v>
      </c>
      <c r="P54" s="1">
        <v>124.47426605224609</v>
      </c>
      <c r="Q54" s="1">
        <v>-253.18087768554688</v>
      </c>
      <c r="R54" s="1">
        <v>75.262710571289063</v>
      </c>
    </row>
    <row r="55" spans="1:18">
      <c r="A55" s="1">
        <v>-585.825439453125</v>
      </c>
      <c r="B55" s="1">
        <v>-107.11249542236328</v>
      </c>
      <c r="C55" s="1">
        <v>41.751174926757813</v>
      </c>
      <c r="F55" s="1">
        <v>141.17361450195313</v>
      </c>
      <c r="G55" s="1">
        <v>-17.997358322143555</v>
      </c>
      <c r="H55" s="1">
        <v>2636.75732421875</v>
      </c>
      <c r="K55" s="1">
        <v>-193.8173828125</v>
      </c>
      <c r="L55" s="1">
        <v>996.09173583984375</v>
      </c>
      <c r="M55" s="1">
        <v>-633.35009765625</v>
      </c>
      <c r="P55" s="1">
        <v>74.053611755371094</v>
      </c>
      <c r="Q55" s="1">
        <v>-161.62078857421875</v>
      </c>
      <c r="R55" s="1">
        <v>-149.02967834472656</v>
      </c>
    </row>
    <row r="56" spans="1:18">
      <c r="A56" s="1">
        <v>-601.6396484375</v>
      </c>
      <c r="B56" s="1">
        <v>105.48056030273438</v>
      </c>
      <c r="C56" s="1">
        <v>-182.24214172363281</v>
      </c>
      <c r="F56" s="1">
        <v>130.68675231933594</v>
      </c>
      <c r="G56" s="1">
        <v>45.689113616943359</v>
      </c>
      <c r="H56" s="1">
        <v>12301.861328125</v>
      </c>
      <c r="K56" s="1">
        <v>-130.36257934570313</v>
      </c>
      <c r="L56" s="1">
        <v>1162.3505859375</v>
      </c>
      <c r="M56" s="1">
        <v>-747.18878173828125</v>
      </c>
      <c r="P56" s="1">
        <v>147.41421508789063</v>
      </c>
      <c r="Q56" s="1">
        <v>-353.93569946289063</v>
      </c>
      <c r="R56" s="1">
        <v>-243.37675476074219</v>
      </c>
    </row>
    <row r="57" spans="1:18">
      <c r="A57" s="1">
        <v>-336.82882690429688</v>
      </c>
      <c r="B57" s="1">
        <v>220.08924865722656</v>
      </c>
      <c r="C57" s="1">
        <v>-194.57920837402344</v>
      </c>
      <c r="F57" s="1">
        <v>-248.73370361328125</v>
      </c>
      <c r="G57" s="1">
        <v>147.79354858398438</v>
      </c>
      <c r="H57" s="1">
        <v>14559.615234375</v>
      </c>
      <c r="K57" s="1">
        <v>366.44769287109375</v>
      </c>
      <c r="L57" s="1">
        <v>1202.2578125</v>
      </c>
      <c r="M57" s="1">
        <v>-724.40643310546875</v>
      </c>
      <c r="P57" s="1">
        <v>529.60296630859375</v>
      </c>
      <c r="Q57" s="1">
        <v>-401.2115478515625</v>
      </c>
      <c r="R57" s="1">
        <v>115.24491119384766</v>
      </c>
    </row>
    <row r="58" spans="1:18">
      <c r="A58" s="1">
        <v>408.63043212890625</v>
      </c>
      <c r="B58" s="1">
        <v>667.40887451171875</v>
      </c>
      <c r="C58" s="1">
        <v>172.16184997558594</v>
      </c>
      <c r="F58" s="1">
        <v>-302.2830810546875</v>
      </c>
      <c r="G58" s="1">
        <v>478.68313598632813</v>
      </c>
      <c r="H58" s="1">
        <v>15276.1884765625</v>
      </c>
      <c r="K58" s="1">
        <v>-236.57014465332031</v>
      </c>
      <c r="L58" s="1">
        <v>1544.8525390625</v>
      </c>
      <c r="M58" s="1">
        <v>-418.92868041992188</v>
      </c>
      <c r="P58" s="1">
        <v>9.6744794845581055</v>
      </c>
      <c r="Q58" s="1">
        <v>35.985279083251953</v>
      </c>
      <c r="R58" s="1">
        <v>-50.594352722167969</v>
      </c>
    </row>
    <row r="59" spans="1:18">
      <c r="A59" s="1">
        <v>628.3240966796875</v>
      </c>
      <c r="B59" s="1">
        <v>1323.923828125</v>
      </c>
      <c r="C59" s="1">
        <v>801.19195556640625</v>
      </c>
      <c r="F59" s="1">
        <v>-213.23088073730469</v>
      </c>
      <c r="G59" s="1">
        <v>64.889152526855469</v>
      </c>
      <c r="H59" s="1">
        <v>12999.38671875</v>
      </c>
      <c r="K59" s="1">
        <v>-530.7637939453125</v>
      </c>
      <c r="L59" s="1">
        <v>1976.876953125</v>
      </c>
      <c r="M59" s="1">
        <v>33.174030303955078</v>
      </c>
      <c r="P59" s="1">
        <v>-70.683670043945313</v>
      </c>
      <c r="Q59" s="1">
        <v>230.14303588867188</v>
      </c>
      <c r="R59" s="1">
        <v>-182.55081176757813</v>
      </c>
    </row>
    <row r="60" spans="1:18">
      <c r="A60" s="1">
        <v>804.6739501953125</v>
      </c>
      <c r="B60" s="1">
        <v>730.290283203125</v>
      </c>
      <c r="C60" s="1">
        <v>800.21429443359375</v>
      </c>
      <c r="F60" s="1">
        <v>-66.190399169921875</v>
      </c>
      <c r="G60" s="1">
        <v>-48.10015869140625</v>
      </c>
      <c r="H60" s="1">
        <v>12112.6240234375</v>
      </c>
      <c r="K60" s="1">
        <v>-442.3050537109375</v>
      </c>
      <c r="L60" s="1">
        <v>1961.0732421875</v>
      </c>
      <c r="M60" s="1">
        <v>126.09706115722656</v>
      </c>
      <c r="P60" s="1">
        <v>382.11444091796875</v>
      </c>
      <c r="Q60" s="1">
        <v>173.63671875</v>
      </c>
      <c r="R60" s="1">
        <v>195.25836181640625</v>
      </c>
    </row>
    <row r="61" spans="1:18">
      <c r="A61" s="1">
        <v>1004.4379272460938</v>
      </c>
      <c r="B61" s="1">
        <v>716.60211181640625</v>
      </c>
      <c r="C61" s="1">
        <v>1117.908447265625</v>
      </c>
      <c r="F61" s="1">
        <v>365.25241088867188</v>
      </c>
      <c r="G61" s="1">
        <v>340.9808349609375</v>
      </c>
      <c r="H61" s="1">
        <v>12447.298828125</v>
      </c>
      <c r="K61" s="1">
        <v>0.68099170923233032</v>
      </c>
      <c r="L61" s="1">
        <v>1641.59765625</v>
      </c>
      <c r="M61" s="1">
        <v>-1.2455323934555054</v>
      </c>
      <c r="P61" s="1">
        <v>597.12347412109375</v>
      </c>
      <c r="Q61" s="1">
        <v>355.74368286132813</v>
      </c>
      <c r="R61" s="1">
        <v>94.559730529785156</v>
      </c>
    </row>
    <row r="62" spans="1:18">
      <c r="A62" s="1">
        <v>764.20965576171875</v>
      </c>
      <c r="B62" s="1">
        <v>1422.4920654296875</v>
      </c>
      <c r="C62" s="1">
        <v>2454.3447265625</v>
      </c>
      <c r="F62" s="1">
        <v>426.42572021484375</v>
      </c>
      <c r="G62" s="1">
        <v>821.49151611328125</v>
      </c>
      <c r="H62" s="1">
        <v>12050.9111328125</v>
      </c>
      <c r="K62" s="1">
        <v>82.241264343261719</v>
      </c>
      <c r="L62" s="1">
        <v>1736.8212890625</v>
      </c>
      <c r="M62" s="1">
        <v>-39.752189636230469</v>
      </c>
      <c r="P62" s="1">
        <v>1240.2418212890625</v>
      </c>
      <c r="Q62" s="1">
        <v>442.81158447265625</v>
      </c>
      <c r="R62" s="1">
        <v>145.493896484375</v>
      </c>
    </row>
    <row r="63" spans="1:18">
      <c r="A63" s="1">
        <v>1026.6220703125</v>
      </c>
      <c r="B63" s="1">
        <v>1744.8038330078125</v>
      </c>
      <c r="C63" s="1">
        <v>2868.078125</v>
      </c>
      <c r="F63" s="1">
        <v>367.9661865234375</v>
      </c>
      <c r="G63" s="1">
        <v>635.482666015625</v>
      </c>
      <c r="H63" s="1">
        <v>9797.5234375</v>
      </c>
      <c r="K63" s="1">
        <v>-203.60861206054688</v>
      </c>
      <c r="L63" s="1">
        <v>2448.556640625</v>
      </c>
      <c r="M63" s="1">
        <v>475.94036865234375</v>
      </c>
      <c r="P63" s="1">
        <v>1595.3759765625</v>
      </c>
      <c r="Q63" s="1">
        <v>502.4224853515625</v>
      </c>
      <c r="R63" s="1">
        <v>956.4906005859375</v>
      </c>
    </row>
    <row r="64" spans="1:18">
      <c r="A64" s="1">
        <v>1822.346923828125</v>
      </c>
      <c r="B64" s="1">
        <v>2426.97509765625</v>
      </c>
      <c r="C64" s="1">
        <v>3398.905029296875</v>
      </c>
      <c r="F64" s="1">
        <v>239.19026184082031</v>
      </c>
      <c r="G64" s="1">
        <v>447.43087768554688</v>
      </c>
      <c r="H64" s="1">
        <v>2445.9482421875</v>
      </c>
      <c r="K64" s="1">
        <v>-155.19287109375</v>
      </c>
      <c r="L64" s="1">
        <v>2689.5458984375</v>
      </c>
      <c r="M64" s="1">
        <v>427.2657470703125</v>
      </c>
      <c r="P64" s="1">
        <v>2884.595947265625</v>
      </c>
      <c r="Q64" s="1">
        <v>1274.2325439453125</v>
      </c>
      <c r="R64" s="1">
        <v>1778.7137451171875</v>
      </c>
    </row>
    <row r="65" spans="1:19">
      <c r="A65" s="1">
        <v>2218.51708984375</v>
      </c>
      <c r="B65" s="1">
        <v>2871.138427734375</v>
      </c>
      <c r="C65" s="1">
        <v>3941.810302734375</v>
      </c>
      <c r="F65" s="1">
        <v>249.92214965820313</v>
      </c>
      <c r="G65" s="1">
        <v>250.46501159667969</v>
      </c>
      <c r="H65" s="1">
        <v>-344.93148803710938</v>
      </c>
      <c r="K65" s="1">
        <v>262.72286987304688</v>
      </c>
      <c r="L65" s="1">
        <v>3120.07421875</v>
      </c>
      <c r="M65" s="1">
        <v>367.29425048828125</v>
      </c>
      <c r="P65" s="1">
        <v>4133.19091796875</v>
      </c>
      <c r="Q65" s="1">
        <v>1986.0347900390625</v>
      </c>
      <c r="R65" s="1">
        <v>2550.06201171875</v>
      </c>
    </row>
    <row r="66" spans="1:19">
      <c r="A66" s="1">
        <v>2625.171630859375</v>
      </c>
      <c r="B66" s="1">
        <v>4228.9658203125</v>
      </c>
      <c r="C66" s="1">
        <v>4437.42626953125</v>
      </c>
      <c r="F66" s="1">
        <v>522.970458984375</v>
      </c>
      <c r="G66" s="1">
        <v>67.151481628417969</v>
      </c>
      <c r="H66" s="1">
        <v>-2171.858154296875</v>
      </c>
      <c r="K66" s="1">
        <v>331.76361083984375</v>
      </c>
      <c r="L66" s="1">
        <v>3384.3134765625</v>
      </c>
      <c r="M66" s="1">
        <v>409.15087890625</v>
      </c>
      <c r="P66" s="1">
        <v>6652.13720703125</v>
      </c>
      <c r="Q66" s="1">
        <v>3716.368408203125</v>
      </c>
      <c r="R66" s="1">
        <v>4013.72265625</v>
      </c>
    </row>
    <row r="67" spans="1:19">
      <c r="A67" s="1">
        <v>4132.318359375</v>
      </c>
      <c r="B67" s="1">
        <v>6262.82470703125</v>
      </c>
      <c r="C67" s="1">
        <v>6701.03466796875</v>
      </c>
      <c r="F67" s="1">
        <v>1140.7608642578125</v>
      </c>
      <c r="G67" s="1">
        <v>33.18951416015625</v>
      </c>
      <c r="H67" s="1">
        <v>-2622.284912109375</v>
      </c>
      <c r="K67" s="1">
        <v>109.64029693603516</v>
      </c>
      <c r="L67" s="1">
        <v>3290.849609375</v>
      </c>
      <c r="M67" s="1">
        <v>253.21842956542969</v>
      </c>
      <c r="P67" s="1">
        <v>11184.318359375</v>
      </c>
      <c r="Q67" s="1">
        <v>6484.3818359375</v>
      </c>
      <c r="R67" s="1">
        <v>7103.83642578125</v>
      </c>
    </row>
    <row r="68" spans="1:19">
      <c r="A68" s="1">
        <v>6865.82470703125</v>
      </c>
      <c r="B68" s="1">
        <v>8954.58203125</v>
      </c>
      <c r="C68" s="1">
        <v>10247.259765625</v>
      </c>
      <c r="F68" s="1">
        <v>1601.4537353515625</v>
      </c>
      <c r="G68" s="1">
        <v>100.08301544189453</v>
      </c>
      <c r="H68" s="1">
        <v>-1972.3521728515625</v>
      </c>
      <c r="K68" s="1">
        <v>-209.90098571777344</v>
      </c>
      <c r="L68" s="1">
        <v>2911.7958984375</v>
      </c>
      <c r="M68" s="1">
        <v>199.50474548339844</v>
      </c>
      <c r="P68" s="1">
        <v>18480.3359375</v>
      </c>
      <c r="Q68" s="1">
        <v>12176.5546875</v>
      </c>
      <c r="R68" s="1">
        <v>12088.9892578125</v>
      </c>
    </row>
    <row r="69" spans="1:19">
      <c r="A69" s="1">
        <v>11137.9169921875</v>
      </c>
      <c r="B69" s="1">
        <v>15795.9873046875</v>
      </c>
      <c r="C69" s="1">
        <v>16643.330078125</v>
      </c>
      <c r="F69" s="1">
        <v>2534.701171875</v>
      </c>
      <c r="G69" s="1">
        <v>-437.64456176757813</v>
      </c>
      <c r="H69" s="1">
        <v>-925.28668212890625</v>
      </c>
      <c r="K69" s="1">
        <v>30.93272590637207</v>
      </c>
      <c r="L69" s="1">
        <v>3028.7109375</v>
      </c>
      <c r="M69" s="1">
        <v>150.20512390136719</v>
      </c>
      <c r="P69" s="1">
        <v>32482.28125</v>
      </c>
      <c r="Q69" s="1">
        <v>22753.697265625</v>
      </c>
      <c r="R69" s="1">
        <v>22819.564453125</v>
      </c>
    </row>
    <row r="70" spans="1:19">
      <c r="A70" s="1">
        <v>19228.78125</v>
      </c>
      <c r="B70" s="1">
        <v>27833.712890625</v>
      </c>
      <c r="C70" s="1">
        <v>28184.8828125</v>
      </c>
      <c r="F70" s="1">
        <v>4707.83935546875</v>
      </c>
      <c r="G70" s="1">
        <v>-567.7237548828125</v>
      </c>
      <c r="H70" s="1">
        <v>-582.58831787109375</v>
      </c>
      <c r="K70" s="1">
        <v>991.72344970703125</v>
      </c>
      <c r="L70" s="1">
        <v>3975.7392578125</v>
      </c>
      <c r="M70" s="1">
        <v>490.81173706054688</v>
      </c>
      <c r="P70" s="1">
        <v>58221.3828125</v>
      </c>
      <c r="Q70" s="1">
        <v>42864.44921875</v>
      </c>
      <c r="R70" s="1">
        <v>41147.3671875</v>
      </c>
    </row>
    <row r="71" spans="1:19">
      <c r="A71" s="1">
        <v>33596.3671875</v>
      </c>
      <c r="B71" s="1">
        <v>48802.109375</v>
      </c>
      <c r="C71" s="1">
        <v>49635.40625</v>
      </c>
      <c r="F71" s="1">
        <v>7685.1376953125</v>
      </c>
      <c r="G71" s="1">
        <v>-516.6778564453125</v>
      </c>
      <c r="H71" s="1">
        <v>772.7037353515625</v>
      </c>
      <c r="K71" s="1">
        <v>1270.90869140625</v>
      </c>
      <c r="L71" s="1">
        <v>4451.490234375</v>
      </c>
      <c r="M71" s="1">
        <v>-5.9566330909729004</v>
      </c>
      <c r="P71" s="1">
        <v>101504.34375</v>
      </c>
      <c r="Q71" s="1">
        <v>77444.296875</v>
      </c>
      <c r="R71" s="1">
        <v>72808.828125</v>
      </c>
    </row>
    <row r="72" spans="1:19">
      <c r="A72" s="1">
        <v>58942.05859375</v>
      </c>
      <c r="B72" s="1">
        <v>82697.1484375</v>
      </c>
      <c r="C72" s="1">
        <v>84926.3359375</v>
      </c>
      <c r="F72" s="1">
        <v>13814.345703125</v>
      </c>
      <c r="G72" s="1">
        <v>-389.10861206054688</v>
      </c>
      <c r="H72" s="1">
        <v>1575.589599609375</v>
      </c>
      <c r="K72" s="1">
        <v>1589.027587890625</v>
      </c>
      <c r="L72" s="1">
        <v>5071.9169921875</v>
      </c>
      <c r="M72" s="1">
        <v>-491.49844360351563</v>
      </c>
      <c r="P72" s="1">
        <v>163881.65625</v>
      </c>
      <c r="Q72" s="1">
        <v>132420.8125</v>
      </c>
      <c r="R72" s="1">
        <v>123497.734375</v>
      </c>
    </row>
    <row r="73" spans="1:19">
      <c r="A73" s="1">
        <v>92049.921875</v>
      </c>
      <c r="B73" s="1">
        <v>123757.71875</v>
      </c>
      <c r="C73" s="1">
        <v>127575.453125</v>
      </c>
      <c r="F73" s="1">
        <v>22691.1796875</v>
      </c>
      <c r="G73" s="1">
        <v>129.46849060058594</v>
      </c>
      <c r="H73" s="1">
        <v>1423.803466796875</v>
      </c>
      <c r="K73" s="1">
        <v>2124.830078125</v>
      </c>
      <c r="L73" s="1">
        <v>5334.12890625</v>
      </c>
      <c r="M73" s="1">
        <v>-760.466064453125</v>
      </c>
      <c r="P73" s="1">
        <v>228346.1875</v>
      </c>
      <c r="Q73" s="1">
        <v>194621.171875</v>
      </c>
      <c r="R73" s="1">
        <v>180018.359375</v>
      </c>
    </row>
    <row r="74" spans="1:19">
      <c r="D74" t="s">
        <v>20</v>
      </c>
      <c r="I74" t="s">
        <v>22</v>
      </c>
      <c r="N74" t="s">
        <v>24</v>
      </c>
      <c r="S74" t="s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4"/>
  <sheetViews>
    <sheetView topLeftCell="A22" workbookViewId="0">
      <selection activeCell="T2" sqref="T2:T36"/>
    </sheetView>
  </sheetViews>
  <sheetFormatPr defaultRowHeight="15"/>
  <cols>
    <col min="17" max="17" width="10.42578125" customWidth="1"/>
    <col min="21" max="22" width="9.85546875" bestFit="1" customWidth="1"/>
  </cols>
  <sheetData>
    <row r="1" spans="1:28">
      <c r="A1" s="1">
        <v>-2856.31640625</v>
      </c>
      <c r="B1" s="1">
        <v>-2829.94189453125</v>
      </c>
      <c r="C1" s="1">
        <v>231.51506042480469</v>
      </c>
      <c r="E1" s="1">
        <v>-1531.6978759765625</v>
      </c>
      <c r="F1" s="1">
        <v>-1915.7423095703125</v>
      </c>
      <c r="G1" s="1">
        <v>-518.54327392578125</v>
      </c>
      <c r="J1" s="1">
        <v>1385.537353515625</v>
      </c>
      <c r="K1" s="1">
        <v>13530.255859375</v>
      </c>
      <c r="L1" s="1">
        <v>110.10066223144531</v>
      </c>
      <c r="O1" s="1">
        <v>3213.98779296875</v>
      </c>
      <c r="P1" s="1">
        <v>552.26275634765625</v>
      </c>
      <c r="Q1" s="1">
        <v>-1003.51513671875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</row>
    <row r="2" spans="1:28">
      <c r="A2" s="1">
        <v>-1926.7921142578125</v>
      </c>
      <c r="B2" s="1">
        <v>729.65625</v>
      </c>
      <c r="C2" s="1">
        <v>355.63644409179688</v>
      </c>
      <c r="E2" s="1">
        <v>-1045.296142578125</v>
      </c>
      <c r="F2" s="1">
        <v>-1646.4505615234375</v>
      </c>
      <c r="G2" s="1">
        <v>85.015625</v>
      </c>
      <c r="J2" s="1">
        <v>780.25909423828125</v>
      </c>
      <c r="K2" s="1">
        <v>14450.0771484375</v>
      </c>
      <c r="L2" s="1">
        <v>271.76434326171875</v>
      </c>
      <c r="O2" s="1">
        <v>10343.8330078125</v>
      </c>
      <c r="P2" s="1">
        <v>1772.974609375</v>
      </c>
      <c r="Q2" s="1">
        <v>-1017.1029663085938</v>
      </c>
      <c r="T2" s="3">
        <v>1</v>
      </c>
      <c r="U2" s="1">
        <f>AVERAGE(A1:C1)</f>
        <v>-1818.2477467854817</v>
      </c>
      <c r="V2" s="1">
        <f>AVERAGE(E1:G1)</f>
        <v>-1321.9944864908855</v>
      </c>
      <c r="W2" s="1">
        <f>AVERAGE(J1:L1)</f>
        <v>5008.6312917073565</v>
      </c>
      <c r="X2" s="1">
        <f>AVERAGE(O1:Q1)</f>
        <v>920.91180419921875</v>
      </c>
      <c r="Y2" s="1">
        <f>AVERAGE(A40:C40)</f>
        <v>1405.3234456380208</v>
      </c>
      <c r="Z2" s="1">
        <f>AVERAGE(E40:G40)</f>
        <v>1293.9162190755208</v>
      </c>
      <c r="AA2" s="1">
        <f>AVERAGE(J40:L40)</f>
        <v>1038.630350748698</v>
      </c>
      <c r="AB2" s="1">
        <f>AVERAGE(O40:Q40)</f>
        <v>398.88056945800781</v>
      </c>
    </row>
    <row r="3" spans="1:28">
      <c r="A3" s="1">
        <v>-66.123374938964844</v>
      </c>
      <c r="B3" s="1">
        <v>135.87947082519531</v>
      </c>
      <c r="C3" s="1">
        <v>300.2578125</v>
      </c>
      <c r="E3" s="1">
        <v>120.98068237304688</v>
      </c>
      <c r="F3" s="1">
        <v>-613.45172119140625</v>
      </c>
      <c r="G3" s="1">
        <v>-169.91378784179688</v>
      </c>
      <c r="J3" s="1">
        <v>-753.91375732421875</v>
      </c>
      <c r="K3" s="1">
        <v>12080.3662109375</v>
      </c>
      <c r="L3" s="1">
        <v>1002.6272583007813</v>
      </c>
      <c r="O3" s="1">
        <v>1743.037841796875</v>
      </c>
      <c r="P3" s="1">
        <v>1212.1317138671875</v>
      </c>
      <c r="Q3" s="1">
        <v>-373.38607788085938</v>
      </c>
      <c r="T3" s="3">
        <v>2</v>
      </c>
      <c r="U3" s="1">
        <f>AVERAGE(A2:C2)</f>
        <v>-280.49980672200519</v>
      </c>
      <c r="V3" s="1">
        <f>AVERAGE(E2:G2)</f>
        <v>-868.91035970052087</v>
      </c>
      <c r="W3" s="1">
        <f>AVERAGE(J2:L2)</f>
        <v>5167.366861979167</v>
      </c>
      <c r="X3" s="1">
        <f>AVERAGE(O2:Q2)</f>
        <v>3699.9015502929688</v>
      </c>
      <c r="Y3" s="1">
        <f>AVERAGE(A41:C41)</f>
        <v>517.25179036458337</v>
      </c>
      <c r="Z3" s="1">
        <f>AVERAGE(E41:G41)</f>
        <v>1140.1258544921875</v>
      </c>
      <c r="AA3" s="1">
        <f>AVERAGE(J41:L41)</f>
        <v>849.48823038736975</v>
      </c>
      <c r="AB3" s="1">
        <f>AVERAGE(O41:Q41)</f>
        <v>290.8431345621745</v>
      </c>
    </row>
    <row r="4" spans="1:28">
      <c r="A4" s="1">
        <v>-110.06398773193359</v>
      </c>
      <c r="B4" s="1">
        <v>303.97769165039063</v>
      </c>
      <c r="C4" s="1">
        <v>-162.13644409179688</v>
      </c>
      <c r="E4" s="1">
        <v>449.6051025390625</v>
      </c>
      <c r="F4" s="1">
        <v>-345.109130859375</v>
      </c>
      <c r="G4" s="1">
        <v>-247.44084167480469</v>
      </c>
      <c r="J4" s="1">
        <v>-871.9576416015625</v>
      </c>
      <c r="K4" s="1">
        <v>10518.3115234375</v>
      </c>
      <c r="L4" s="1">
        <v>1195.1151123046875</v>
      </c>
      <c r="O4" s="1">
        <v>-1496.46826171875</v>
      </c>
      <c r="P4" s="1">
        <v>-258.7579345703125</v>
      </c>
      <c r="Q4" s="1">
        <v>21.494884490966797</v>
      </c>
      <c r="T4" s="3">
        <v>3</v>
      </c>
      <c r="U4" s="1">
        <f t="shared" ref="U4:U36" si="0">AVERAGE(A3:C3)</f>
        <v>123.33796946207683</v>
      </c>
      <c r="V4" s="1">
        <f t="shared" ref="V4:V36" si="1">AVERAGE(E3:G3)</f>
        <v>-220.79494222005209</v>
      </c>
      <c r="W4" s="1">
        <f t="shared" ref="W4:W36" si="2">AVERAGE(J3:L3)</f>
        <v>4109.6932373046875</v>
      </c>
      <c r="X4" s="1">
        <f t="shared" ref="X4:X36" si="3">AVERAGE(O3:Q3)</f>
        <v>860.594492594401</v>
      </c>
      <c r="Y4" s="1">
        <f t="shared" ref="Y4:Y36" si="4">AVERAGE(A42:C42)</f>
        <v>-287.42654546101886</v>
      </c>
      <c r="Z4" s="1">
        <f t="shared" ref="Z4:Z36" si="5">AVERAGE(E42:G42)</f>
        <v>756.42790222167969</v>
      </c>
      <c r="AA4" s="1">
        <f t="shared" ref="AA4:AA36" si="6">AVERAGE(J42:L42)</f>
        <v>518.46719360351563</v>
      </c>
      <c r="AB4" s="1">
        <f t="shared" ref="AB4:AB36" si="7">AVERAGE(O42:Q42)</f>
        <v>258.42812601725262</v>
      </c>
    </row>
    <row r="5" spans="1:28">
      <c r="A5" s="1">
        <v>-224.07882690429688</v>
      </c>
      <c r="B5" s="1">
        <v>-227.98660278320313</v>
      </c>
      <c r="C5" s="1">
        <v>-371.54632568359375</v>
      </c>
      <c r="E5" s="1">
        <v>243.64360046386719</v>
      </c>
      <c r="F5" s="1">
        <v>469.65139770507813</v>
      </c>
      <c r="G5" s="1">
        <v>212.52427673339844</v>
      </c>
      <c r="J5" s="1">
        <v>88.791404724121094</v>
      </c>
      <c r="K5" s="1">
        <v>8492.6328125</v>
      </c>
      <c r="L5" s="1">
        <v>1094.01708984375</v>
      </c>
      <c r="O5" s="1">
        <v>-1216.0135498046875</v>
      </c>
      <c r="P5" s="1">
        <v>-1494.014892578125</v>
      </c>
      <c r="Q5" s="1">
        <v>377.47738647460938</v>
      </c>
      <c r="T5" s="3">
        <v>4</v>
      </c>
      <c r="U5" s="1">
        <f t="shared" si="0"/>
        <v>10.592419942220053</v>
      </c>
      <c r="V5" s="1">
        <f t="shared" si="1"/>
        <v>-47.648289998372398</v>
      </c>
      <c r="W5" s="1">
        <f t="shared" si="2"/>
        <v>3613.822998046875</v>
      </c>
      <c r="X5" s="1">
        <f t="shared" si="3"/>
        <v>-577.91043726603186</v>
      </c>
      <c r="Y5" s="1">
        <f t="shared" si="4"/>
        <v>-103.43308003743489</v>
      </c>
      <c r="Z5" s="1">
        <f t="shared" si="5"/>
        <v>561.88232421875</v>
      </c>
      <c r="AA5" s="1">
        <f t="shared" si="6"/>
        <v>156.20265706380209</v>
      </c>
      <c r="AB5" s="1">
        <f t="shared" si="7"/>
        <v>231.71882883707681</v>
      </c>
    </row>
    <row r="6" spans="1:28">
      <c r="A6" s="1">
        <v>197.21493530273438</v>
      </c>
      <c r="B6" s="1">
        <v>-440.85714721679688</v>
      </c>
      <c r="C6" s="1">
        <v>-221.96400451660156</v>
      </c>
      <c r="E6" s="1">
        <v>-143.08352661132813</v>
      </c>
      <c r="F6" s="1">
        <v>489.38067626953125</v>
      </c>
      <c r="G6" s="1">
        <v>291.91128540039063</v>
      </c>
      <c r="J6" s="1">
        <v>269.82562255859375</v>
      </c>
      <c r="K6" s="1">
        <v>4737.921875</v>
      </c>
      <c r="L6" s="1">
        <v>775.8721923828125</v>
      </c>
      <c r="O6" s="1">
        <v>-292.25408935546875</v>
      </c>
      <c r="P6" s="1">
        <v>-1207.748291015625</v>
      </c>
      <c r="Q6" s="1">
        <v>395.81927490234375</v>
      </c>
      <c r="T6" s="3">
        <v>5</v>
      </c>
      <c r="U6" s="1">
        <f t="shared" si="0"/>
        <v>-274.53725179036456</v>
      </c>
      <c r="V6" s="1">
        <f t="shared" si="1"/>
        <v>308.60642496744794</v>
      </c>
      <c r="W6" s="1">
        <f t="shared" si="2"/>
        <v>3225.147102355957</v>
      </c>
      <c r="X6" s="1">
        <f t="shared" si="3"/>
        <v>-777.51701863606775</v>
      </c>
      <c r="Y6" s="1">
        <f t="shared" si="4"/>
        <v>18.758313496907551</v>
      </c>
      <c r="Z6" s="1">
        <f t="shared" si="5"/>
        <v>329.78599294026691</v>
      </c>
      <c r="AA6" s="1">
        <f t="shared" si="6"/>
        <v>113.58786010742188</v>
      </c>
      <c r="AB6" s="1">
        <f t="shared" si="7"/>
        <v>110.90015538533528</v>
      </c>
    </row>
    <row r="7" spans="1:28">
      <c r="A7" s="1">
        <v>363.48135375976563</v>
      </c>
      <c r="B7" s="1">
        <v>-329.63394165039063</v>
      </c>
      <c r="C7" s="1">
        <v>332.92300415039063</v>
      </c>
      <c r="E7" s="1">
        <v>-466.45516967773438</v>
      </c>
      <c r="F7" s="1">
        <v>218.91075134277344</v>
      </c>
      <c r="G7" s="1">
        <v>326.18109130859375</v>
      </c>
      <c r="J7" s="1">
        <v>299.54733276367188</v>
      </c>
      <c r="K7" s="1">
        <v>2295.21142578125</v>
      </c>
      <c r="L7" s="1">
        <v>2.8288431167602539</v>
      </c>
      <c r="O7" s="1">
        <v>-172.92433166503906</v>
      </c>
      <c r="P7" s="1">
        <v>1735.1275634765625</v>
      </c>
      <c r="Q7" s="1">
        <v>-117.33100891113281</v>
      </c>
      <c r="T7" s="3">
        <v>6</v>
      </c>
      <c r="U7" s="1">
        <f t="shared" si="0"/>
        <v>-155.20207214355469</v>
      </c>
      <c r="V7" s="1">
        <f t="shared" si="1"/>
        <v>212.73614501953125</v>
      </c>
      <c r="W7" s="1">
        <f t="shared" si="2"/>
        <v>1927.8732299804688</v>
      </c>
      <c r="X7" s="1">
        <f t="shared" si="3"/>
        <v>-368.06103515625</v>
      </c>
      <c r="Y7" s="1">
        <f t="shared" si="4"/>
        <v>-100.71433512369792</v>
      </c>
      <c r="Z7" s="1">
        <f t="shared" si="5"/>
        <v>61.812037150065102</v>
      </c>
      <c r="AA7" s="1">
        <f t="shared" si="6"/>
        <v>343.88192240397137</v>
      </c>
      <c r="AB7" s="1">
        <f t="shared" si="7"/>
        <v>-7.7674700419108076</v>
      </c>
    </row>
    <row r="8" spans="1:28">
      <c r="A8" s="1">
        <v>87.880577087402344</v>
      </c>
      <c r="B8" s="1">
        <v>558.62054443359375</v>
      </c>
      <c r="C8" s="1">
        <v>325.29437255859375</v>
      </c>
      <c r="E8" s="1">
        <v>-660.60418701171875</v>
      </c>
      <c r="F8" s="1">
        <v>286.12442016601563</v>
      </c>
      <c r="G8" s="1">
        <v>-121.50614166259766</v>
      </c>
      <c r="J8" s="1">
        <v>31.792478561401367</v>
      </c>
      <c r="K8" s="1">
        <v>395.43826293945313</v>
      </c>
      <c r="L8" s="1">
        <v>-181.35903930664063</v>
      </c>
      <c r="O8" s="1">
        <v>-49.383632659912109</v>
      </c>
      <c r="P8" s="1">
        <v>-267.32461547851563</v>
      </c>
      <c r="Q8" s="1">
        <v>-338.66098022460938</v>
      </c>
      <c r="T8" s="3">
        <v>7</v>
      </c>
      <c r="U8" s="1">
        <f t="shared" si="0"/>
        <v>122.25680541992188</v>
      </c>
      <c r="V8" s="1">
        <f t="shared" si="1"/>
        <v>26.21222432454427</v>
      </c>
      <c r="W8" s="1">
        <f t="shared" si="2"/>
        <v>865.86253388722741</v>
      </c>
      <c r="X8" s="1">
        <f t="shared" si="3"/>
        <v>481.62407430013019</v>
      </c>
      <c r="Y8" s="1">
        <f t="shared" si="4"/>
        <v>153.76350911458334</v>
      </c>
      <c r="Z8" s="1">
        <f t="shared" si="5"/>
        <v>61.879740397135414</v>
      </c>
      <c r="AA8" s="1">
        <f t="shared" si="6"/>
        <v>219.55748494466147</v>
      </c>
      <c r="AB8" s="1">
        <f t="shared" si="7"/>
        <v>43.602661768595375</v>
      </c>
    </row>
    <row r="9" spans="1:28">
      <c r="A9" s="1">
        <v>188.57669067382813</v>
      </c>
      <c r="B9" s="1">
        <v>705.9375</v>
      </c>
      <c r="C9" s="1">
        <v>-32.756137847900391</v>
      </c>
      <c r="E9" s="1">
        <v>-227.99537658691406</v>
      </c>
      <c r="F9" s="1">
        <v>18.685724258422852</v>
      </c>
      <c r="G9" s="1">
        <v>-291.755859375</v>
      </c>
      <c r="J9" s="1">
        <v>-70.255340576171875</v>
      </c>
      <c r="K9" s="1">
        <v>-1315.5223388671875</v>
      </c>
      <c r="L9" s="1">
        <v>-212.14457702636719</v>
      </c>
      <c r="O9" s="1">
        <v>-45.850742340087891</v>
      </c>
      <c r="P9" s="1">
        <v>-752.69085693359375</v>
      </c>
      <c r="Q9" s="1">
        <v>43.384021759033203</v>
      </c>
      <c r="T9" s="3">
        <v>8</v>
      </c>
      <c r="U9" s="1">
        <f t="shared" si="0"/>
        <v>323.93183135986328</v>
      </c>
      <c r="V9" s="1">
        <f t="shared" si="1"/>
        <v>-165.32863616943359</v>
      </c>
      <c r="W9" s="1">
        <f t="shared" si="2"/>
        <v>81.95723406473796</v>
      </c>
      <c r="X9" s="1">
        <f t="shared" si="3"/>
        <v>-218.4564094543457</v>
      </c>
      <c r="Y9" s="1">
        <f t="shared" si="4"/>
        <v>114.7986551920573</v>
      </c>
      <c r="Z9" s="1">
        <f t="shared" si="5"/>
        <v>316.73001861572266</v>
      </c>
      <c r="AA9" s="1">
        <f t="shared" si="6"/>
        <v>-192.21616252263388</v>
      </c>
      <c r="AB9" s="1">
        <f t="shared" si="7"/>
        <v>-260.37226359049481</v>
      </c>
    </row>
    <row r="10" spans="1:28">
      <c r="A10" s="1">
        <v>-436.88735961914063</v>
      </c>
      <c r="B10" s="1">
        <v>2042.3170166015625</v>
      </c>
      <c r="C10" s="1">
        <v>-170.072265625</v>
      </c>
      <c r="E10" s="1">
        <v>-187.31236267089844</v>
      </c>
      <c r="F10" s="1">
        <v>-74.182647705078125</v>
      </c>
      <c r="G10" s="1">
        <v>-177.42355346679688</v>
      </c>
      <c r="J10" s="1">
        <v>197.91168212890625</v>
      </c>
      <c r="K10" s="1">
        <v>-2584.95166015625</v>
      </c>
      <c r="L10" s="1">
        <v>-936.12542724609375</v>
      </c>
      <c r="O10" s="1">
        <v>515.85400390625</v>
      </c>
      <c r="P10" s="1">
        <v>2483.92724609375</v>
      </c>
      <c r="Q10" s="1">
        <v>-8.7975263595581055</v>
      </c>
      <c r="T10" s="3">
        <v>9</v>
      </c>
      <c r="U10" s="1">
        <f t="shared" si="0"/>
        <v>287.25268427530926</v>
      </c>
      <c r="V10" s="1">
        <f t="shared" si="1"/>
        <v>-167.02183723449707</v>
      </c>
      <c r="W10" s="1">
        <f t="shared" si="2"/>
        <v>-532.64075215657556</v>
      </c>
      <c r="X10" s="1">
        <f t="shared" si="3"/>
        <v>-251.71919250488281</v>
      </c>
      <c r="Y10" s="1">
        <f t="shared" si="4"/>
        <v>-320.86671956380206</v>
      </c>
      <c r="Z10" s="1">
        <f t="shared" si="5"/>
        <v>237.51125590006509</v>
      </c>
      <c r="AA10" s="1">
        <f t="shared" si="6"/>
        <v>-317.79840596516925</v>
      </c>
      <c r="AB10" s="1">
        <f t="shared" si="7"/>
        <v>-358.40315755208331</v>
      </c>
    </row>
    <row r="11" spans="1:28">
      <c r="A11" s="1">
        <v>-743.9217529296875</v>
      </c>
      <c r="B11" s="1">
        <v>4112.0400390625</v>
      </c>
      <c r="C11" s="1">
        <v>-556.04461669921875</v>
      </c>
      <c r="E11" s="1">
        <v>500.63238525390625</v>
      </c>
      <c r="F11" s="1">
        <v>-88.648674011230469</v>
      </c>
      <c r="G11" s="1">
        <v>220.13142395019531</v>
      </c>
      <c r="J11" s="1">
        <v>609.1529541015625</v>
      </c>
      <c r="K11" s="1">
        <v>-3111.506103515625</v>
      </c>
      <c r="L11" s="1">
        <v>-993.77813720703125</v>
      </c>
      <c r="O11" s="1">
        <v>1246.230712890625</v>
      </c>
      <c r="P11" s="1">
        <v>-1450.6500244140625</v>
      </c>
      <c r="Q11" s="1">
        <v>333.68499755859375</v>
      </c>
      <c r="T11" s="3">
        <v>10</v>
      </c>
      <c r="U11" s="1">
        <f t="shared" si="0"/>
        <v>478.45246378580731</v>
      </c>
      <c r="V11" s="1">
        <f t="shared" si="1"/>
        <v>-146.30618794759116</v>
      </c>
      <c r="W11" s="1">
        <f t="shared" si="2"/>
        <v>-1107.7218017578125</v>
      </c>
      <c r="X11" s="1">
        <f t="shared" si="3"/>
        <v>996.99457454681396</v>
      </c>
      <c r="Y11" s="1">
        <f t="shared" si="4"/>
        <v>-587.25083414713538</v>
      </c>
      <c r="Z11" s="1">
        <f t="shared" si="5"/>
        <v>130.98911794026694</v>
      </c>
      <c r="AA11" s="1">
        <f t="shared" si="6"/>
        <v>-75.547319412231445</v>
      </c>
      <c r="AB11" s="1">
        <f t="shared" si="7"/>
        <v>-48.629384358723961</v>
      </c>
    </row>
    <row r="12" spans="1:28">
      <c r="A12" s="1">
        <v>449.89154052734375</v>
      </c>
      <c r="B12" s="1">
        <v>6415.10693359375</v>
      </c>
      <c r="C12" s="1">
        <v>-170.80607604980469</v>
      </c>
      <c r="E12" s="1">
        <v>370.58883666992188</v>
      </c>
      <c r="F12" s="1">
        <v>-361.36080932617188</v>
      </c>
      <c r="G12" s="1">
        <v>468.82699584960938</v>
      </c>
      <c r="J12" s="1">
        <v>488.8824462890625</v>
      </c>
      <c r="K12" s="1">
        <v>-3587.185302734375</v>
      </c>
      <c r="L12" s="1">
        <v>-313.03634643554688</v>
      </c>
      <c r="O12" s="1">
        <v>1850.0135498046875</v>
      </c>
      <c r="P12" s="1">
        <v>-3217.414794921875</v>
      </c>
      <c r="Q12" s="1">
        <v>1065.42529296875</v>
      </c>
      <c r="T12" s="3">
        <v>11</v>
      </c>
      <c r="U12" s="1">
        <f t="shared" si="0"/>
        <v>937.35788981119788</v>
      </c>
      <c r="V12" s="1">
        <f t="shared" si="1"/>
        <v>210.70504506429037</v>
      </c>
      <c r="W12" s="1">
        <f t="shared" si="2"/>
        <v>-1165.3770955403645</v>
      </c>
      <c r="X12" s="1">
        <f t="shared" si="3"/>
        <v>43.08856201171875</v>
      </c>
      <c r="Y12" s="1">
        <f t="shared" si="4"/>
        <v>-150.51256306966147</v>
      </c>
      <c r="Z12" s="1">
        <f t="shared" si="5"/>
        <v>215.38624572753906</v>
      </c>
      <c r="AA12" s="1">
        <f t="shared" si="6"/>
        <v>152.00976498921713</v>
      </c>
      <c r="AB12" s="1">
        <f t="shared" si="7"/>
        <v>-145.80742518107095</v>
      </c>
    </row>
    <row r="13" spans="1:28">
      <c r="A13" s="1">
        <v>2534.407958984375</v>
      </c>
      <c r="B13" s="1">
        <v>10123.955078125</v>
      </c>
      <c r="C13" s="1">
        <v>1651.6512451171875</v>
      </c>
      <c r="E13" s="1">
        <v>448.11563110351563</v>
      </c>
      <c r="F13" s="1">
        <v>-214.04167175292969</v>
      </c>
      <c r="G13" s="1">
        <v>1125.5538330078125</v>
      </c>
      <c r="J13" s="1">
        <v>-25.602865219116211</v>
      </c>
      <c r="K13" s="1">
        <v>-4874.45849609375</v>
      </c>
      <c r="L13" s="1">
        <v>242.93202209472656</v>
      </c>
      <c r="O13" s="1">
        <v>1307.31201171875</v>
      </c>
      <c r="P13" s="1">
        <v>-1113.007568359375</v>
      </c>
      <c r="Q13" s="1">
        <v>2274.07958984375</v>
      </c>
      <c r="T13" s="3">
        <v>12</v>
      </c>
      <c r="U13" s="1">
        <f t="shared" si="0"/>
        <v>2231.3974660237632</v>
      </c>
      <c r="V13" s="1">
        <f t="shared" si="1"/>
        <v>159.35167439778647</v>
      </c>
      <c r="W13" s="1">
        <f t="shared" si="2"/>
        <v>-1137.1130676269531</v>
      </c>
      <c r="X13" s="1">
        <f t="shared" si="3"/>
        <v>-100.65865071614583</v>
      </c>
      <c r="Y13" s="1">
        <f t="shared" si="4"/>
        <v>525.86372248331702</v>
      </c>
      <c r="Z13" s="1">
        <f t="shared" si="5"/>
        <v>240.35500462849936</v>
      </c>
      <c r="AA13" s="1">
        <f t="shared" si="6"/>
        <v>201.45355733235678</v>
      </c>
      <c r="AB13" s="1">
        <f t="shared" si="7"/>
        <v>-73.374796549479171</v>
      </c>
    </row>
    <row r="14" spans="1:28">
      <c r="A14" s="1">
        <v>6218.46337890625</v>
      </c>
      <c r="B14" s="1">
        <v>15324.3349609375</v>
      </c>
      <c r="C14" s="1">
        <v>4505.3974609375</v>
      </c>
      <c r="E14" s="1">
        <v>1492.4666748046875</v>
      </c>
      <c r="F14" s="1">
        <v>900.0196533203125</v>
      </c>
      <c r="G14" s="1">
        <v>2480.60888671875</v>
      </c>
      <c r="J14" s="1">
        <v>-192.89286804199219</v>
      </c>
      <c r="K14" s="1">
        <v>-5414.5751953125</v>
      </c>
      <c r="L14" s="1">
        <v>271.193359375</v>
      </c>
      <c r="O14" s="1">
        <v>-3389.553466796875</v>
      </c>
      <c r="P14" s="1">
        <v>3272.657470703125</v>
      </c>
      <c r="Q14" s="1">
        <v>4144.83544921875</v>
      </c>
      <c r="T14" s="3">
        <v>13</v>
      </c>
      <c r="U14" s="1">
        <f t="shared" si="0"/>
        <v>4770.0047607421875</v>
      </c>
      <c r="V14" s="1">
        <f t="shared" si="1"/>
        <v>453.20926411946613</v>
      </c>
      <c r="W14" s="1">
        <f t="shared" si="2"/>
        <v>-1552.3764464060466</v>
      </c>
      <c r="X14" s="1">
        <f t="shared" si="3"/>
        <v>822.794677734375</v>
      </c>
      <c r="Y14" s="1">
        <f t="shared" si="4"/>
        <v>709.4014790852865</v>
      </c>
      <c r="Z14" s="1">
        <f t="shared" si="5"/>
        <v>-77.505668640136719</v>
      </c>
      <c r="AA14" s="1">
        <f t="shared" si="6"/>
        <v>-136.65732828776041</v>
      </c>
      <c r="AB14" s="1">
        <f t="shared" si="7"/>
        <v>99.579973856608078</v>
      </c>
    </row>
    <row r="15" spans="1:28">
      <c r="A15" s="1">
        <v>12205.9091796875</v>
      </c>
      <c r="B15" s="1">
        <v>23432.74609375</v>
      </c>
      <c r="C15" s="1">
        <v>11087.8935546875</v>
      </c>
      <c r="E15" s="1">
        <v>3680.610595703125</v>
      </c>
      <c r="F15" s="1">
        <v>3339.2294921875</v>
      </c>
      <c r="G15" s="1">
        <v>4623.70263671875</v>
      </c>
      <c r="J15" s="1">
        <v>-17.702409744262695</v>
      </c>
      <c r="K15" s="1">
        <v>-5093.75439453125</v>
      </c>
      <c r="L15" s="1">
        <v>-13.619516372680664</v>
      </c>
      <c r="O15" s="1">
        <v>-3533.2001953125</v>
      </c>
      <c r="P15" s="1">
        <v>9634.158203125</v>
      </c>
      <c r="Q15" s="1">
        <v>8487.044921875</v>
      </c>
      <c r="T15" s="3">
        <v>14</v>
      </c>
      <c r="U15" s="1">
        <f t="shared" si="0"/>
        <v>8682.73193359375</v>
      </c>
      <c r="V15" s="1">
        <f t="shared" si="1"/>
        <v>1624.3650716145833</v>
      </c>
      <c r="W15" s="1">
        <f t="shared" si="2"/>
        <v>-1778.7582346598308</v>
      </c>
      <c r="X15" s="1">
        <f t="shared" si="3"/>
        <v>1342.646484375</v>
      </c>
      <c r="Y15" s="1">
        <f t="shared" si="4"/>
        <v>175.62413024902344</v>
      </c>
      <c r="Z15" s="1">
        <f t="shared" si="5"/>
        <v>-510.09549458821613</v>
      </c>
      <c r="AA15" s="1">
        <f t="shared" si="6"/>
        <v>-494.80859565734863</v>
      </c>
      <c r="AB15" s="1">
        <f t="shared" si="7"/>
        <v>-47.625413576761879</v>
      </c>
    </row>
    <row r="16" spans="1:28">
      <c r="A16" s="1">
        <v>24208.5234375</v>
      </c>
      <c r="B16" s="1">
        <v>35829.28125</v>
      </c>
      <c r="C16" s="1">
        <v>22489.1328125</v>
      </c>
      <c r="E16" s="1">
        <v>7693.31298828125</v>
      </c>
      <c r="F16" s="1">
        <v>7941.19677734375</v>
      </c>
      <c r="G16" s="1">
        <v>9057.3828125</v>
      </c>
      <c r="J16" s="1">
        <v>427.968505859375</v>
      </c>
      <c r="K16" s="1">
        <v>-5231.96533203125</v>
      </c>
      <c r="L16" s="1">
        <v>-433.13552856445313</v>
      </c>
      <c r="O16" s="1">
        <v>2713.82470703125</v>
      </c>
      <c r="P16" s="1">
        <v>13027.1123046875</v>
      </c>
      <c r="Q16" s="1">
        <v>17074.87109375</v>
      </c>
      <c r="T16" s="3">
        <v>15</v>
      </c>
      <c r="U16" s="1">
        <f t="shared" si="0"/>
        <v>15575.516276041666</v>
      </c>
      <c r="V16" s="1">
        <f t="shared" si="1"/>
        <v>3881.180908203125</v>
      </c>
      <c r="W16" s="1">
        <f t="shared" si="2"/>
        <v>-1708.3587735493977</v>
      </c>
      <c r="X16" s="1">
        <f t="shared" si="3"/>
        <v>4862.667643229167</v>
      </c>
      <c r="Y16" s="1">
        <f t="shared" si="4"/>
        <v>10.862398783365885</v>
      </c>
      <c r="Z16" s="1">
        <f t="shared" si="5"/>
        <v>-840.05904134114587</v>
      </c>
      <c r="AA16" s="1">
        <f t="shared" si="6"/>
        <v>-412.58353678385419</v>
      </c>
      <c r="AB16" s="1">
        <f t="shared" si="7"/>
        <v>-35.352935791015625</v>
      </c>
    </row>
    <row r="17" spans="1:28">
      <c r="A17" s="1">
        <v>46100.90234375</v>
      </c>
      <c r="B17" s="1">
        <v>58463.78515625</v>
      </c>
      <c r="C17" s="1">
        <v>43301.27734375</v>
      </c>
      <c r="E17" s="1">
        <v>15571.80078125</v>
      </c>
      <c r="F17" s="1">
        <v>17055.7421875</v>
      </c>
      <c r="G17" s="1">
        <v>17029.60546875</v>
      </c>
      <c r="J17" s="1">
        <v>435.76837158203125</v>
      </c>
      <c r="K17" s="1">
        <v>-5096.64453125</v>
      </c>
      <c r="L17" s="1">
        <v>-509.23355102539063</v>
      </c>
      <c r="O17" s="1">
        <v>13153.740234375</v>
      </c>
      <c r="P17" s="1">
        <v>28960.21484375</v>
      </c>
      <c r="Q17" s="1">
        <v>32936.84375</v>
      </c>
      <c r="T17" s="3">
        <v>16</v>
      </c>
      <c r="U17" s="1">
        <f t="shared" si="0"/>
        <v>27508.979166666668</v>
      </c>
      <c r="V17" s="1">
        <f t="shared" si="1"/>
        <v>8230.630859375</v>
      </c>
      <c r="W17" s="1">
        <f t="shared" si="2"/>
        <v>-1745.7107849121094</v>
      </c>
      <c r="X17" s="1">
        <f t="shared" si="3"/>
        <v>10938.602701822916</v>
      </c>
      <c r="Y17" s="1">
        <f t="shared" si="4"/>
        <v>44.522539774576821</v>
      </c>
      <c r="Z17" s="1">
        <f t="shared" si="5"/>
        <v>-934.3702494303385</v>
      </c>
      <c r="AA17" s="1">
        <f t="shared" si="6"/>
        <v>-295.13973999023438</v>
      </c>
      <c r="AB17" s="1">
        <f t="shared" si="7"/>
        <v>24.614852905273438</v>
      </c>
    </row>
    <row r="18" spans="1:28">
      <c r="A18" s="1">
        <v>83748.734375</v>
      </c>
      <c r="B18" s="1">
        <v>95590.7578125</v>
      </c>
      <c r="C18" s="1">
        <v>77743.8203125</v>
      </c>
      <c r="E18" s="1">
        <v>30268.02734375</v>
      </c>
      <c r="F18" s="1">
        <v>33623.20703125</v>
      </c>
      <c r="G18" s="1">
        <v>32083.8359375</v>
      </c>
      <c r="J18" s="1">
        <v>292.99398803710938</v>
      </c>
      <c r="K18" s="1">
        <v>-5767.69873046875</v>
      </c>
      <c r="L18" s="1">
        <v>-485.73394775390625</v>
      </c>
      <c r="O18" s="1">
        <v>27850.8828125</v>
      </c>
      <c r="P18" s="1">
        <v>53761.50390625</v>
      </c>
      <c r="Q18" s="1">
        <v>58933.78125</v>
      </c>
      <c r="T18" s="3">
        <v>17</v>
      </c>
      <c r="U18" s="1">
        <f t="shared" si="0"/>
        <v>49288.654947916664</v>
      </c>
      <c r="V18" s="1">
        <f t="shared" si="1"/>
        <v>16552.3828125</v>
      </c>
      <c r="W18" s="1">
        <f t="shared" si="2"/>
        <v>-1723.3699035644531</v>
      </c>
      <c r="X18" s="1">
        <f t="shared" si="3"/>
        <v>25016.932942708332</v>
      </c>
      <c r="Y18" s="1">
        <f t="shared" si="4"/>
        <v>278.38320795694989</v>
      </c>
      <c r="Z18" s="1">
        <f t="shared" si="5"/>
        <v>-933.81296793619788</v>
      </c>
      <c r="AA18" s="1">
        <f t="shared" si="6"/>
        <v>-83.749318440755204</v>
      </c>
      <c r="AB18" s="1">
        <f t="shared" si="7"/>
        <v>-48.383504231770836</v>
      </c>
    </row>
    <row r="19" spans="1:28">
      <c r="A19" s="1">
        <v>140745.5</v>
      </c>
      <c r="B19" s="1">
        <v>151209.203125</v>
      </c>
      <c r="C19" s="1">
        <v>127176.1171875</v>
      </c>
      <c r="E19" s="1">
        <v>53474.35546875</v>
      </c>
      <c r="F19" s="1">
        <v>61358.01171875</v>
      </c>
      <c r="G19" s="1">
        <v>56207.4921875</v>
      </c>
      <c r="J19" s="1">
        <v>-1.4561865329742432</v>
      </c>
      <c r="K19" s="1">
        <v>-5758.06591796875</v>
      </c>
      <c r="L19" s="1">
        <v>-585.83587646484375</v>
      </c>
      <c r="O19" s="1">
        <v>56092.96875</v>
      </c>
      <c r="P19" s="1">
        <v>89526.203125</v>
      </c>
      <c r="Q19" s="1">
        <v>95847.6796875</v>
      </c>
      <c r="T19" s="3">
        <v>18</v>
      </c>
      <c r="U19" s="1">
        <f t="shared" si="0"/>
        <v>85694.4375</v>
      </c>
      <c r="V19" s="1">
        <f t="shared" si="1"/>
        <v>31991.690104166668</v>
      </c>
      <c r="W19" s="1">
        <f t="shared" si="2"/>
        <v>-1986.8128967285156</v>
      </c>
      <c r="X19" s="1">
        <f t="shared" si="3"/>
        <v>46848.72265625</v>
      </c>
      <c r="Y19" s="1">
        <f t="shared" si="4"/>
        <v>478.69700113932294</v>
      </c>
      <c r="Z19" s="1">
        <f t="shared" si="5"/>
        <v>-872.574696858724</v>
      </c>
      <c r="AA19" s="1">
        <f t="shared" si="6"/>
        <v>57.212717692057289</v>
      </c>
      <c r="AB19" s="1">
        <f t="shared" si="7"/>
        <v>-152.84279123942056</v>
      </c>
    </row>
    <row r="20" spans="1:28">
      <c r="A20" s="1">
        <v>210608.546875</v>
      </c>
      <c r="B20" s="1">
        <v>218778.765625</v>
      </c>
      <c r="C20" s="1">
        <v>185528.4375</v>
      </c>
      <c r="E20" s="1">
        <v>87187.8125</v>
      </c>
      <c r="F20" s="1">
        <v>103436.578125</v>
      </c>
      <c r="G20" s="1">
        <v>91651.3984375</v>
      </c>
      <c r="J20" s="1">
        <v>-79.500099182128906</v>
      </c>
      <c r="K20" s="1">
        <v>-5570.1513671875</v>
      </c>
      <c r="L20" s="1">
        <v>-576.71124267578125</v>
      </c>
      <c r="O20" s="1">
        <v>96061.1015625</v>
      </c>
      <c r="P20" s="1">
        <v>130181.3046875</v>
      </c>
      <c r="Q20" s="1">
        <v>139970.296875</v>
      </c>
      <c r="T20" s="3">
        <v>19</v>
      </c>
      <c r="U20" s="1">
        <f t="shared" si="0"/>
        <v>139710.2734375</v>
      </c>
      <c r="V20" s="1">
        <f t="shared" si="1"/>
        <v>57013.286458333336</v>
      </c>
      <c r="W20" s="1">
        <f t="shared" si="2"/>
        <v>-2115.1193269888558</v>
      </c>
      <c r="X20" s="1">
        <f t="shared" si="3"/>
        <v>80488.950520833328</v>
      </c>
      <c r="Y20" s="1">
        <f t="shared" si="4"/>
        <v>610.09674072265625</v>
      </c>
      <c r="Z20" s="1">
        <f t="shared" si="5"/>
        <v>-635.69836489359534</v>
      </c>
      <c r="AA20" s="1">
        <f t="shared" si="6"/>
        <v>317.51457977294922</v>
      </c>
      <c r="AB20" s="1">
        <f t="shared" si="7"/>
        <v>-125.52605438232422</v>
      </c>
    </row>
    <row r="21" spans="1:28">
      <c r="A21" s="1">
        <v>281301.71875</v>
      </c>
      <c r="B21" s="1">
        <v>285307.375</v>
      </c>
      <c r="C21" s="1">
        <v>241323.15625</v>
      </c>
      <c r="E21" s="1">
        <v>128442.515625</v>
      </c>
      <c r="F21" s="1">
        <v>154202.75</v>
      </c>
      <c r="G21" s="1">
        <v>132798.171875</v>
      </c>
      <c r="J21" s="1">
        <v>99.479423522949219</v>
      </c>
      <c r="K21" s="1">
        <v>-5201.79931640625</v>
      </c>
      <c r="L21" s="1">
        <v>-556.102294921875</v>
      </c>
      <c r="O21" s="1">
        <v>139625.984375</v>
      </c>
      <c r="P21" s="1">
        <v>166019.8125</v>
      </c>
      <c r="Q21" s="1">
        <v>185088.6875</v>
      </c>
      <c r="T21" s="3">
        <v>20</v>
      </c>
      <c r="U21" s="1">
        <f t="shared" si="0"/>
        <v>204971.91666666666</v>
      </c>
      <c r="V21" s="1">
        <f t="shared" si="1"/>
        <v>94091.9296875</v>
      </c>
      <c r="W21" s="1">
        <f t="shared" si="2"/>
        <v>-2075.4542363484702</v>
      </c>
      <c r="X21" s="1">
        <f t="shared" si="3"/>
        <v>122070.90104166667</v>
      </c>
      <c r="Y21" s="1">
        <f t="shared" si="4"/>
        <v>814.61889775594079</v>
      </c>
      <c r="Z21" s="1">
        <f t="shared" si="5"/>
        <v>-223.95357894897461</v>
      </c>
      <c r="AA21" s="1">
        <f t="shared" si="6"/>
        <v>130.82556660970053</v>
      </c>
      <c r="AB21" s="1">
        <f t="shared" si="7"/>
        <v>198.02506891886392</v>
      </c>
    </row>
    <row r="22" spans="1:28">
      <c r="A22" s="1">
        <v>342426.5625</v>
      </c>
      <c r="B22" s="1">
        <v>343764.46875</v>
      </c>
      <c r="C22" s="1">
        <v>288883.6875</v>
      </c>
      <c r="E22" s="1">
        <v>172281.84375</v>
      </c>
      <c r="F22" s="1">
        <v>207483.09375</v>
      </c>
      <c r="G22" s="1">
        <v>176148.625</v>
      </c>
      <c r="J22" s="1">
        <v>42.029262542724609</v>
      </c>
      <c r="K22" s="1">
        <v>-4693.32275390625</v>
      </c>
      <c r="L22" s="1">
        <v>-717.9229736328125</v>
      </c>
      <c r="O22" s="1">
        <v>178268.578125</v>
      </c>
      <c r="P22" s="1">
        <v>200817.484375</v>
      </c>
      <c r="Q22" s="1">
        <v>227783.8125</v>
      </c>
      <c r="T22" s="3">
        <v>21</v>
      </c>
      <c r="U22" s="1">
        <f t="shared" si="0"/>
        <v>269310.75</v>
      </c>
      <c r="V22" s="1">
        <f t="shared" si="1"/>
        <v>138481.14583333334</v>
      </c>
      <c r="W22" s="1">
        <f t="shared" si="2"/>
        <v>-1886.1407292683919</v>
      </c>
      <c r="X22" s="1">
        <f t="shared" si="3"/>
        <v>163578.16145833334</v>
      </c>
      <c r="Y22" s="1">
        <f t="shared" si="4"/>
        <v>1111.8128916422527</v>
      </c>
      <c r="Z22" s="1">
        <f t="shared" si="5"/>
        <v>-138.77650451660156</v>
      </c>
      <c r="AA22" s="1">
        <f t="shared" si="6"/>
        <v>-218.19808451334634</v>
      </c>
      <c r="AB22" s="1">
        <f t="shared" si="7"/>
        <v>163.93818155924478</v>
      </c>
    </row>
    <row r="23" spans="1:28">
      <c r="A23" s="1">
        <v>392172.8125</v>
      </c>
      <c r="B23" s="1">
        <v>395734.1875</v>
      </c>
      <c r="C23" s="1">
        <v>329058.75</v>
      </c>
      <c r="E23" s="1">
        <v>215016.71875</v>
      </c>
      <c r="F23" s="1">
        <v>259458.671875</v>
      </c>
      <c r="G23" s="1">
        <v>218804.03125</v>
      </c>
      <c r="J23" s="1">
        <v>-295.4755859375</v>
      </c>
      <c r="K23" s="1">
        <v>-3673.845703125</v>
      </c>
      <c r="L23" s="1">
        <v>-625.98974609375</v>
      </c>
      <c r="O23" s="1">
        <v>209820.03125</v>
      </c>
      <c r="P23" s="1">
        <v>228364.4375</v>
      </c>
      <c r="Q23" s="1">
        <v>267386.9375</v>
      </c>
      <c r="T23" s="3">
        <v>22</v>
      </c>
      <c r="U23" s="1">
        <f t="shared" si="0"/>
        <v>325024.90625</v>
      </c>
      <c r="V23" s="1">
        <f t="shared" si="1"/>
        <v>185304.52083333334</v>
      </c>
      <c r="W23" s="1">
        <f t="shared" si="2"/>
        <v>-1789.738821665446</v>
      </c>
      <c r="X23" s="1">
        <f t="shared" si="3"/>
        <v>202289.95833333334</v>
      </c>
      <c r="Y23" s="1">
        <f t="shared" si="4"/>
        <v>1230.897518157959</v>
      </c>
      <c r="Z23" s="1">
        <f t="shared" si="5"/>
        <v>-117.19837951660156</v>
      </c>
      <c r="AA23" s="1">
        <f t="shared" si="6"/>
        <v>-411.81028238932294</v>
      </c>
      <c r="AB23" s="1">
        <f t="shared" si="7"/>
        <v>77.416384379069015</v>
      </c>
    </row>
    <row r="24" spans="1:28">
      <c r="A24" s="1">
        <v>430862.8125</v>
      </c>
      <c r="B24" s="1">
        <v>438805.71875</v>
      </c>
      <c r="C24" s="1">
        <v>360812.4375</v>
      </c>
      <c r="E24" s="1">
        <v>254632.625</v>
      </c>
      <c r="F24" s="1">
        <v>306154.3125</v>
      </c>
      <c r="G24" s="1">
        <v>258497.28125</v>
      </c>
      <c r="J24" s="1">
        <v>-975.38665771484375</v>
      </c>
      <c r="K24" s="1">
        <v>-2328.05615234375</v>
      </c>
      <c r="L24" s="1">
        <v>-258.36514282226563</v>
      </c>
      <c r="O24" s="1">
        <v>234581.96875</v>
      </c>
      <c r="P24" s="1">
        <v>250077.90625</v>
      </c>
      <c r="Q24" s="1">
        <v>302031.0625</v>
      </c>
      <c r="T24" s="3">
        <v>23</v>
      </c>
      <c r="U24" s="1">
        <f t="shared" si="0"/>
        <v>372321.91666666669</v>
      </c>
      <c r="V24" s="1">
        <f t="shared" si="1"/>
        <v>231093.140625</v>
      </c>
      <c r="W24" s="1">
        <f t="shared" si="2"/>
        <v>-1531.7703450520833</v>
      </c>
      <c r="X24" s="1">
        <f t="shared" si="3"/>
        <v>235190.46875</v>
      </c>
      <c r="Y24" s="1">
        <f t="shared" si="4"/>
        <v>1175.5576477050781</v>
      </c>
      <c r="Z24" s="1">
        <f t="shared" si="5"/>
        <v>56.321154276529946</v>
      </c>
      <c r="AA24" s="1">
        <f t="shared" si="6"/>
        <v>-299.74539184570313</v>
      </c>
      <c r="AB24" s="1">
        <f t="shared" si="7"/>
        <v>192.9310442606608</v>
      </c>
    </row>
    <row r="25" spans="1:28">
      <c r="A25" s="1">
        <v>461283.25</v>
      </c>
      <c r="B25" s="1">
        <v>474298.0625</v>
      </c>
      <c r="C25" s="1">
        <v>386504.03125</v>
      </c>
      <c r="E25" s="1">
        <v>290536.28125</v>
      </c>
      <c r="F25" s="1">
        <v>348297.34375</v>
      </c>
      <c r="G25" s="1">
        <v>295026.46875</v>
      </c>
      <c r="J25" s="1">
        <v>-897.59466552734375</v>
      </c>
      <c r="K25" s="1">
        <v>-1869.423095703125</v>
      </c>
      <c r="L25" s="1">
        <v>-191.67410278320313</v>
      </c>
      <c r="O25" s="1">
        <v>254800.296875</v>
      </c>
      <c r="P25" s="1">
        <v>269021.34375</v>
      </c>
      <c r="Q25" s="1">
        <v>332074.65625</v>
      </c>
      <c r="T25" s="3">
        <v>24</v>
      </c>
      <c r="U25" s="1">
        <f t="shared" si="0"/>
        <v>410160.32291666669</v>
      </c>
      <c r="V25" s="1">
        <f t="shared" si="1"/>
        <v>273094.73958333331</v>
      </c>
      <c r="W25" s="1">
        <f t="shared" si="2"/>
        <v>-1187.2693176269531</v>
      </c>
      <c r="X25" s="1">
        <f t="shared" si="3"/>
        <v>262230.3125</v>
      </c>
      <c r="Y25" s="1">
        <f t="shared" si="4"/>
        <v>1188.3297723134358</v>
      </c>
      <c r="Z25" s="1">
        <f t="shared" si="5"/>
        <v>344.32244618733722</v>
      </c>
      <c r="AA25" s="1">
        <f t="shared" si="6"/>
        <v>-112.02683512369792</v>
      </c>
      <c r="AB25" s="1">
        <f t="shared" si="7"/>
        <v>368.26471201578778</v>
      </c>
    </row>
    <row r="26" spans="1:28">
      <c r="A26" s="1">
        <v>485089.28125</v>
      </c>
      <c r="B26" s="1">
        <v>502389.84375</v>
      </c>
      <c r="C26" s="1">
        <v>406683.5</v>
      </c>
      <c r="E26" s="1">
        <v>322097.5</v>
      </c>
      <c r="F26" s="1">
        <v>384251.09375</v>
      </c>
      <c r="G26" s="1">
        <v>328014.96875</v>
      </c>
      <c r="J26" s="1">
        <v>-40.298732757568359</v>
      </c>
      <c r="K26" s="1">
        <v>-1496.0711669921875</v>
      </c>
      <c r="L26" s="1">
        <v>-92.533859252929688</v>
      </c>
      <c r="O26" s="1">
        <v>269748.9375</v>
      </c>
      <c r="P26" s="1">
        <v>282313.53125</v>
      </c>
      <c r="Q26" s="1">
        <v>357261.15625</v>
      </c>
      <c r="T26" s="3">
        <v>25</v>
      </c>
      <c r="U26" s="1">
        <f t="shared" si="0"/>
        <v>440695.11458333331</v>
      </c>
      <c r="V26" s="1">
        <f t="shared" si="1"/>
        <v>311286.69791666669</v>
      </c>
      <c r="W26" s="1">
        <f t="shared" si="2"/>
        <v>-986.23062133789063</v>
      </c>
      <c r="X26" s="1">
        <f t="shared" si="3"/>
        <v>285298.765625</v>
      </c>
      <c r="Y26" s="1">
        <f t="shared" si="4"/>
        <v>1243.5914713541667</v>
      </c>
      <c r="Z26" s="1">
        <f t="shared" si="5"/>
        <v>-2.543426513671875</v>
      </c>
      <c r="AA26" s="1">
        <f t="shared" si="6"/>
        <v>13.351847330729166</v>
      </c>
      <c r="AB26" s="1">
        <f t="shared" si="7"/>
        <v>707.85493342081702</v>
      </c>
    </row>
    <row r="27" spans="1:28">
      <c r="A27" s="1">
        <v>504787.40625</v>
      </c>
      <c r="B27" s="1">
        <v>524013.34375</v>
      </c>
      <c r="C27" s="1">
        <v>421681.84375</v>
      </c>
      <c r="E27" s="1">
        <v>348431.4375</v>
      </c>
      <c r="F27" s="1">
        <v>414757.625</v>
      </c>
      <c r="G27" s="1">
        <v>357433.78125</v>
      </c>
      <c r="J27" s="1">
        <v>178.3057861328125</v>
      </c>
      <c r="K27" s="1">
        <v>68.827651977539063</v>
      </c>
      <c r="L27" s="1">
        <v>161.91497802734375</v>
      </c>
      <c r="O27" s="1">
        <v>280128.625</v>
      </c>
      <c r="P27" s="1">
        <v>289471.625</v>
      </c>
      <c r="Q27" s="1">
        <v>379177.03125</v>
      </c>
      <c r="T27" s="3">
        <v>26</v>
      </c>
      <c r="U27" s="1">
        <f t="shared" si="0"/>
        <v>464720.875</v>
      </c>
      <c r="V27" s="1">
        <f t="shared" si="1"/>
        <v>344787.85416666669</v>
      </c>
      <c r="W27" s="1">
        <f t="shared" si="2"/>
        <v>-542.96791966756189</v>
      </c>
      <c r="X27" s="1">
        <f t="shared" si="3"/>
        <v>303107.875</v>
      </c>
      <c r="Y27" s="1">
        <f t="shared" si="4"/>
        <v>1670.7802734375</v>
      </c>
      <c r="Z27" s="1">
        <f t="shared" si="5"/>
        <v>-27.34161376953125</v>
      </c>
      <c r="AA27" s="1">
        <f t="shared" si="6"/>
        <v>186.34122212727866</v>
      </c>
      <c r="AB27" s="1">
        <f t="shared" si="7"/>
        <v>1020.9984842936198</v>
      </c>
    </row>
    <row r="28" spans="1:28">
      <c r="A28" s="1">
        <v>520039.09375</v>
      </c>
      <c r="B28" s="1">
        <v>542223.625</v>
      </c>
      <c r="C28" s="1">
        <v>433901.9375</v>
      </c>
      <c r="E28" s="1">
        <v>371845.84375</v>
      </c>
      <c r="F28" s="1">
        <v>440647.5</v>
      </c>
      <c r="G28" s="1">
        <v>381974.03125</v>
      </c>
      <c r="J28" s="1">
        <v>445.59390258789063</v>
      </c>
      <c r="K28" s="1">
        <v>1436.9608154296875</v>
      </c>
      <c r="L28" s="1">
        <v>110.78178405761719</v>
      </c>
      <c r="O28" s="1">
        <v>288179.75</v>
      </c>
      <c r="P28" s="1">
        <v>300612.40625</v>
      </c>
      <c r="Q28" s="1">
        <v>399143.3125</v>
      </c>
      <c r="T28" s="3">
        <v>27</v>
      </c>
      <c r="U28" s="1">
        <f t="shared" si="0"/>
        <v>483494.19791666669</v>
      </c>
      <c r="V28" s="1">
        <f t="shared" si="1"/>
        <v>373540.94791666669</v>
      </c>
      <c r="W28" s="1">
        <f t="shared" si="2"/>
        <v>136.34947204589844</v>
      </c>
      <c r="X28" s="1">
        <f t="shared" si="3"/>
        <v>316259.09375</v>
      </c>
      <c r="Y28" s="1">
        <f t="shared" si="4"/>
        <v>2483.2685394287109</v>
      </c>
      <c r="Z28" s="1">
        <f t="shared" si="5"/>
        <v>25.855010350545246</v>
      </c>
      <c r="AA28" s="1">
        <f t="shared" si="6"/>
        <v>123.67174275716145</v>
      </c>
      <c r="AB28" s="1">
        <f t="shared" si="7"/>
        <v>1306.0548299153645</v>
      </c>
    </row>
    <row r="29" spans="1:28">
      <c r="A29" s="1">
        <v>531340.125</v>
      </c>
      <c r="B29" s="1">
        <v>557710.8125</v>
      </c>
      <c r="C29" s="1">
        <v>443807.84375</v>
      </c>
      <c r="E29" s="1">
        <v>393127.90625</v>
      </c>
      <c r="F29" s="1">
        <v>463567.15625</v>
      </c>
      <c r="G29" s="1">
        <v>403577.90625</v>
      </c>
      <c r="J29" s="1">
        <v>525.74920654296875</v>
      </c>
      <c r="K29" s="1">
        <v>2339.328369140625</v>
      </c>
      <c r="L29" s="1">
        <v>-487.05062866210938</v>
      </c>
      <c r="O29" s="1">
        <v>294542</v>
      </c>
      <c r="P29" s="1">
        <v>305935.15625</v>
      </c>
      <c r="Q29" s="1">
        <v>414364.84375</v>
      </c>
      <c r="T29" s="3">
        <v>28</v>
      </c>
      <c r="U29" s="1">
        <f t="shared" si="0"/>
        <v>498721.55208333331</v>
      </c>
      <c r="V29" s="1">
        <f t="shared" si="1"/>
        <v>398155.79166666669</v>
      </c>
      <c r="W29" s="1">
        <f t="shared" si="2"/>
        <v>664.44550069173181</v>
      </c>
      <c r="X29" s="1">
        <f t="shared" si="3"/>
        <v>329311.82291666669</v>
      </c>
      <c r="Y29" s="1">
        <f t="shared" si="4"/>
        <v>3257.7489878336587</v>
      </c>
      <c r="Z29" s="1">
        <f t="shared" si="5"/>
        <v>45.051623026529946</v>
      </c>
      <c r="AA29" s="1">
        <f t="shared" si="6"/>
        <v>160.18323262532553</v>
      </c>
      <c r="AB29" s="1">
        <f t="shared" si="7"/>
        <v>2088.242635091146</v>
      </c>
    </row>
    <row r="30" spans="1:28">
      <c r="A30" s="1">
        <v>541004.6875</v>
      </c>
      <c r="B30" s="1">
        <v>570737.8125</v>
      </c>
      <c r="C30" s="1">
        <v>450957.625</v>
      </c>
      <c r="E30" s="1">
        <v>412526.28125</v>
      </c>
      <c r="F30" s="1">
        <v>482965.625</v>
      </c>
      <c r="G30" s="1">
        <v>423240.65625</v>
      </c>
      <c r="J30" s="1">
        <v>505.04513549804688</v>
      </c>
      <c r="K30" s="1">
        <v>2937.66455078125</v>
      </c>
      <c r="L30" s="1">
        <v>-418.847900390625</v>
      </c>
      <c r="O30" s="1">
        <v>299878.46875</v>
      </c>
      <c r="P30" s="1">
        <v>307752.3125</v>
      </c>
      <c r="Q30" s="1">
        <v>428960.625</v>
      </c>
      <c r="T30" s="3">
        <v>29</v>
      </c>
      <c r="U30" s="1">
        <f t="shared" si="0"/>
        <v>510952.92708333331</v>
      </c>
      <c r="V30" s="1">
        <f t="shared" si="1"/>
        <v>420090.98958333331</v>
      </c>
      <c r="W30" s="1">
        <f t="shared" si="2"/>
        <v>792.6756490071615</v>
      </c>
      <c r="X30" s="1">
        <f t="shared" si="3"/>
        <v>338280.66666666669</v>
      </c>
      <c r="Y30" s="1">
        <f t="shared" si="4"/>
        <v>4334.3858642578125</v>
      </c>
      <c r="Z30" s="1">
        <f t="shared" si="5"/>
        <v>500.82765197753906</v>
      </c>
      <c r="AA30" s="1">
        <f t="shared" si="6"/>
        <v>312.58017476399738</v>
      </c>
      <c r="AB30" s="1">
        <f t="shared" si="7"/>
        <v>3974.2899576822915</v>
      </c>
    </row>
    <row r="31" spans="1:28">
      <c r="A31" s="1">
        <v>548036.9375</v>
      </c>
      <c r="B31" s="1">
        <v>580884.9375</v>
      </c>
      <c r="C31" s="1">
        <v>457088.03125</v>
      </c>
      <c r="E31" s="1">
        <v>427534.59375</v>
      </c>
      <c r="F31" s="1">
        <v>500265.625</v>
      </c>
      <c r="G31" s="1">
        <v>440207.875</v>
      </c>
      <c r="J31" s="1">
        <v>620.575439453125</v>
      </c>
      <c r="K31" s="1">
        <v>4587.5322265625</v>
      </c>
      <c r="L31" s="1">
        <v>60.9837646484375</v>
      </c>
      <c r="O31" s="1">
        <v>303831.96875</v>
      </c>
      <c r="P31" s="1">
        <v>310669.125</v>
      </c>
      <c r="Q31" s="1">
        <v>441212.0625</v>
      </c>
      <c r="T31" s="3">
        <v>30</v>
      </c>
      <c r="U31" s="1">
        <f t="shared" si="0"/>
        <v>520900.04166666669</v>
      </c>
      <c r="V31" s="1">
        <f t="shared" si="1"/>
        <v>439577.52083333331</v>
      </c>
      <c r="W31" s="1">
        <f t="shared" si="2"/>
        <v>1007.9539286295573</v>
      </c>
      <c r="X31" s="1">
        <f t="shared" si="3"/>
        <v>345530.46875</v>
      </c>
      <c r="Y31" s="1">
        <f t="shared" si="4"/>
        <v>6796.8427734375</v>
      </c>
      <c r="Z31" s="1">
        <f t="shared" si="5"/>
        <v>541.31594848632813</v>
      </c>
      <c r="AA31" s="1">
        <f t="shared" si="6"/>
        <v>-169.12446848551431</v>
      </c>
      <c r="AB31" s="1">
        <f t="shared" si="7"/>
        <v>7065.76416015625</v>
      </c>
    </row>
    <row r="32" spans="1:28">
      <c r="A32" s="1">
        <v>552818.125</v>
      </c>
      <c r="B32" s="1">
        <v>591563</v>
      </c>
      <c r="C32" s="1">
        <v>460861.53125</v>
      </c>
      <c r="E32" s="1">
        <v>441707.6875</v>
      </c>
      <c r="F32" s="1">
        <v>514742.09375</v>
      </c>
      <c r="G32" s="1">
        <v>455419.8125</v>
      </c>
      <c r="J32" s="1">
        <v>456.98077392578125</v>
      </c>
      <c r="K32" s="1">
        <v>5753.91552734375</v>
      </c>
      <c r="L32" s="1">
        <v>632.9833984375</v>
      </c>
      <c r="O32" s="1">
        <v>304965.1875</v>
      </c>
      <c r="P32" s="1">
        <v>311550.0625</v>
      </c>
      <c r="Q32" s="1">
        <v>451450.21875</v>
      </c>
      <c r="T32" s="3">
        <v>31</v>
      </c>
      <c r="U32" s="1">
        <f t="shared" si="0"/>
        <v>528669.96875</v>
      </c>
      <c r="V32" s="1">
        <f t="shared" si="1"/>
        <v>456002.69791666669</v>
      </c>
      <c r="W32" s="1">
        <f t="shared" si="2"/>
        <v>1756.3638102213542</v>
      </c>
      <c r="X32" s="1">
        <f t="shared" si="3"/>
        <v>351904.38541666669</v>
      </c>
      <c r="Y32" s="1">
        <f t="shared" si="4"/>
        <v>10336.87548828125</v>
      </c>
      <c r="Z32" s="1">
        <f t="shared" si="5"/>
        <v>525.02556864420569</v>
      </c>
      <c r="AA32" s="1">
        <f t="shared" si="6"/>
        <v>-419.11947631835938</v>
      </c>
      <c r="AB32" s="1">
        <f t="shared" si="7"/>
        <v>12415.977864583334</v>
      </c>
    </row>
    <row r="33" spans="1:28">
      <c r="A33" s="1">
        <v>556675.9375</v>
      </c>
      <c r="B33" s="1">
        <v>600374.5</v>
      </c>
      <c r="C33" s="1">
        <v>464282.25</v>
      </c>
      <c r="E33" s="1">
        <v>454193.90625</v>
      </c>
      <c r="F33" s="1">
        <v>527527.5</v>
      </c>
      <c r="G33" s="1">
        <v>469264.53125</v>
      </c>
      <c r="J33" s="1">
        <v>494.01889038085938</v>
      </c>
      <c r="K33" s="1">
        <v>7667.95458984375</v>
      </c>
      <c r="L33" s="1">
        <v>1230.3541259765625</v>
      </c>
      <c r="O33" s="1">
        <v>306189.71875</v>
      </c>
      <c r="P33" s="1">
        <v>312052.3125</v>
      </c>
      <c r="Q33" s="1">
        <v>461146.8125</v>
      </c>
      <c r="T33" s="3">
        <v>32</v>
      </c>
      <c r="U33" s="1">
        <f t="shared" si="0"/>
        <v>535080.88541666663</v>
      </c>
      <c r="V33" s="1">
        <f t="shared" si="1"/>
        <v>470623.19791666669</v>
      </c>
      <c r="W33" s="1">
        <f t="shared" si="2"/>
        <v>2281.2932332356772</v>
      </c>
      <c r="X33" s="1">
        <f t="shared" si="3"/>
        <v>355988.48958333331</v>
      </c>
      <c r="Y33" s="1">
        <f t="shared" si="4"/>
        <v>17122.160481770832</v>
      </c>
      <c r="Z33" s="1">
        <f t="shared" si="5"/>
        <v>580.6909519135952</v>
      </c>
      <c r="AA33" s="1">
        <f t="shared" si="6"/>
        <v>-243.13009452819824</v>
      </c>
      <c r="AB33" s="1">
        <f t="shared" si="7"/>
        <v>23045.929036458332</v>
      </c>
    </row>
    <row r="34" spans="1:28">
      <c r="A34" s="1">
        <v>557345.75</v>
      </c>
      <c r="B34" s="1">
        <v>606509.0625</v>
      </c>
      <c r="C34" s="1">
        <v>465723.4375</v>
      </c>
      <c r="E34" s="1">
        <v>464691.71875</v>
      </c>
      <c r="F34" s="1">
        <v>538092</v>
      </c>
      <c r="G34" s="1">
        <v>481410.78125</v>
      </c>
      <c r="J34" s="1">
        <v>1072.6116943359375</v>
      </c>
      <c r="K34" s="1">
        <v>9356.931640625</v>
      </c>
      <c r="L34" s="1">
        <v>1807.595947265625</v>
      </c>
      <c r="O34" s="1">
        <v>306379.96875</v>
      </c>
      <c r="P34" s="1">
        <v>313110.09375</v>
      </c>
      <c r="Q34" s="1">
        <v>470115.5625</v>
      </c>
      <c r="T34" s="3">
        <v>33</v>
      </c>
      <c r="U34" s="1">
        <f t="shared" si="0"/>
        <v>540444.22916666663</v>
      </c>
      <c r="V34" s="1">
        <f t="shared" si="1"/>
        <v>483661.97916666669</v>
      </c>
      <c r="W34" s="1">
        <f t="shared" si="2"/>
        <v>3130.7758687337241</v>
      </c>
      <c r="X34" s="1">
        <f t="shared" si="3"/>
        <v>359796.28125</v>
      </c>
      <c r="Y34" s="1">
        <f t="shared" si="4"/>
        <v>28989.514322916668</v>
      </c>
      <c r="Z34" s="1">
        <f t="shared" si="5"/>
        <v>598.64665985107422</v>
      </c>
      <c r="AA34" s="1">
        <f t="shared" si="6"/>
        <v>-87.76182746887207</v>
      </c>
      <c r="AB34" s="1">
        <f t="shared" si="7"/>
        <v>43270.415364583336</v>
      </c>
    </row>
    <row r="35" spans="1:28">
      <c r="A35" s="1">
        <v>558041.25</v>
      </c>
      <c r="B35" s="1">
        <v>611157.8125</v>
      </c>
      <c r="C35" s="1">
        <v>466202.1875</v>
      </c>
      <c r="E35" s="1">
        <v>473257.1875</v>
      </c>
      <c r="F35" s="1">
        <v>545802.5</v>
      </c>
      <c r="G35" s="1">
        <v>490423.375</v>
      </c>
      <c r="J35" s="1">
        <v>1195.4075927734375</v>
      </c>
      <c r="K35" s="1">
        <v>11685.173828125</v>
      </c>
      <c r="L35" s="1">
        <v>2294.489990234375</v>
      </c>
      <c r="O35" s="1">
        <v>306255.65625</v>
      </c>
      <c r="P35" s="1">
        <v>315580.65625</v>
      </c>
      <c r="Q35" s="1">
        <v>476123.25</v>
      </c>
      <c r="T35" s="3">
        <v>34</v>
      </c>
      <c r="U35" s="1">
        <f t="shared" si="0"/>
        <v>543192.75</v>
      </c>
      <c r="V35" s="1">
        <f t="shared" si="1"/>
        <v>494731.5</v>
      </c>
      <c r="W35" s="1">
        <f t="shared" si="2"/>
        <v>4079.046427408854</v>
      </c>
      <c r="X35" s="1">
        <f t="shared" si="3"/>
        <v>363201.875</v>
      </c>
      <c r="Y35" s="1">
        <f t="shared" si="4"/>
        <v>49967.662760416664</v>
      </c>
      <c r="Z35" s="1">
        <f t="shared" si="5"/>
        <v>749.53862603505456</v>
      </c>
      <c r="AA35" s="1">
        <f t="shared" si="6"/>
        <v>285.1337890625</v>
      </c>
      <c r="AB35" s="1">
        <f t="shared" si="7"/>
        <v>77384</v>
      </c>
    </row>
    <row r="36" spans="1:28">
      <c r="T36" s="3">
        <v>35</v>
      </c>
      <c r="U36" s="1">
        <f t="shared" si="0"/>
        <v>545133.75</v>
      </c>
      <c r="V36" s="1">
        <f t="shared" si="1"/>
        <v>503161.02083333331</v>
      </c>
      <c r="W36" s="1">
        <f t="shared" si="2"/>
        <v>5058.3571370442705</v>
      </c>
      <c r="X36" s="1">
        <f t="shared" si="3"/>
        <v>365986.52083333331</v>
      </c>
      <c r="Y36" s="1">
        <f t="shared" si="4"/>
        <v>76557.791666666672</v>
      </c>
      <c r="Z36" s="1">
        <f t="shared" si="5"/>
        <v>772.15579223632813</v>
      </c>
      <c r="AA36" s="1">
        <f t="shared" si="6"/>
        <v>335.11406071980792</v>
      </c>
      <c r="AB36" s="1">
        <f t="shared" si="7"/>
        <v>118531.46875</v>
      </c>
    </row>
    <row r="40" spans="1:28">
      <c r="A40" s="1">
        <v>-1285.7313232421875</v>
      </c>
      <c r="B40" s="1">
        <v>7363.123046875</v>
      </c>
      <c r="C40" s="1">
        <v>-1861.42138671875</v>
      </c>
      <c r="E40" s="1">
        <v>1079.5826416015625</v>
      </c>
      <c r="F40" s="1">
        <v>1070.1787109375</v>
      </c>
      <c r="G40" s="1">
        <v>1731.9873046875</v>
      </c>
      <c r="J40" s="1">
        <v>1253.50048828125</v>
      </c>
      <c r="K40" s="1">
        <v>551.08197021484375</v>
      </c>
      <c r="L40" s="1">
        <v>1311.30859375</v>
      </c>
      <c r="O40" s="1">
        <v>718.7017822265625</v>
      </c>
      <c r="P40" s="1">
        <v>620.87744140625</v>
      </c>
      <c r="Q40" s="1">
        <v>-142.93751525878906</v>
      </c>
    </row>
    <row r="41" spans="1:28">
      <c r="A41" s="1">
        <v>-762.8306884765625</v>
      </c>
      <c r="B41" s="1">
        <v>3607.42138671875</v>
      </c>
      <c r="C41" s="1">
        <v>-1292.8353271484375</v>
      </c>
      <c r="E41" s="1">
        <v>918.67303466796875</v>
      </c>
      <c r="F41" s="1">
        <v>1008.5723266601563</v>
      </c>
      <c r="G41" s="1">
        <v>1493.1322021484375</v>
      </c>
      <c r="J41" s="1">
        <v>922.7464599609375</v>
      </c>
      <c r="K41" s="1">
        <v>459.06588745117188</v>
      </c>
      <c r="L41" s="1">
        <v>1166.65234375</v>
      </c>
      <c r="O41" s="1">
        <v>536.39910888671875</v>
      </c>
      <c r="P41" s="1">
        <v>474.89385986328125</v>
      </c>
      <c r="Q41" s="1">
        <v>-138.76356506347656</v>
      </c>
    </row>
    <row r="42" spans="1:28">
      <c r="A42" s="1">
        <v>-58.328464508056641</v>
      </c>
      <c r="B42" s="1">
        <v>363.5010986328125</v>
      </c>
      <c r="C42" s="1">
        <v>-1167.4522705078125</v>
      </c>
      <c r="E42" s="1">
        <v>212.14228820800781</v>
      </c>
      <c r="F42" s="1">
        <v>823.13775634765625</v>
      </c>
      <c r="G42" s="1">
        <v>1234.003662109375</v>
      </c>
      <c r="J42" s="1">
        <v>524.75799560546875</v>
      </c>
      <c r="K42" s="1">
        <v>467.04977416992188</v>
      </c>
      <c r="L42" s="1">
        <v>563.59381103515625</v>
      </c>
      <c r="O42" s="1">
        <v>451.15896606445313</v>
      </c>
      <c r="P42" s="1">
        <v>499.55877685546875</v>
      </c>
      <c r="Q42" s="1">
        <v>-175.43336486816406</v>
      </c>
    </row>
    <row r="43" spans="1:28">
      <c r="A43" s="1">
        <v>816.2205810546875</v>
      </c>
      <c r="B43" s="1">
        <v>-158.55992126464844</v>
      </c>
      <c r="C43" s="1">
        <v>-967.95989990234375</v>
      </c>
      <c r="E43" s="1">
        <v>38.521728515625</v>
      </c>
      <c r="F43" s="1">
        <v>553.9063720703125</v>
      </c>
      <c r="G43" s="1">
        <v>1093.2188720703125</v>
      </c>
      <c r="J43" s="1">
        <v>-40.5546875</v>
      </c>
      <c r="K43" s="1">
        <v>648.18212890625</v>
      </c>
      <c r="L43" s="1">
        <v>-139.01947021484375</v>
      </c>
      <c r="O43" s="1">
        <v>238.09849548339844</v>
      </c>
      <c r="P43" s="1">
        <v>342.80960083007813</v>
      </c>
      <c r="Q43" s="1">
        <v>114.24839019775391</v>
      </c>
    </row>
    <row r="44" spans="1:28">
      <c r="A44" s="1">
        <v>717.1212158203125</v>
      </c>
      <c r="B44" s="1">
        <v>-74.081871032714844</v>
      </c>
      <c r="C44" s="1">
        <v>-586.764404296875</v>
      </c>
      <c r="E44" s="1">
        <v>186.83476257324219</v>
      </c>
      <c r="F44" s="1">
        <v>90.276573181152344</v>
      </c>
      <c r="G44" s="1">
        <v>712.24664306640625</v>
      </c>
      <c r="J44" s="1">
        <v>-278.69158935546875</v>
      </c>
      <c r="K44" s="1">
        <v>747.697265625</v>
      </c>
      <c r="L44" s="1">
        <v>-128.24209594726563</v>
      </c>
      <c r="O44" s="1">
        <v>-47.047916412353516</v>
      </c>
      <c r="P44" s="1">
        <v>173.5604248046875</v>
      </c>
      <c r="Q44" s="1">
        <v>206.18795776367188</v>
      </c>
    </row>
    <row r="45" spans="1:28">
      <c r="A45" s="1">
        <v>-352.33749389648438</v>
      </c>
      <c r="B45" s="1">
        <v>147.77897644042969</v>
      </c>
      <c r="C45" s="1">
        <v>-97.584487915039063</v>
      </c>
      <c r="E45" s="1">
        <v>194.06184387207031</v>
      </c>
      <c r="F45" s="1">
        <v>-436.67355346679688</v>
      </c>
      <c r="G45" s="1">
        <v>428.04782104492188</v>
      </c>
      <c r="J45" s="1">
        <v>-225.18394470214844</v>
      </c>
      <c r="K45" s="1">
        <v>633.09912109375</v>
      </c>
      <c r="L45" s="1">
        <v>623.7305908203125</v>
      </c>
      <c r="O45" s="1">
        <v>-163.67869567871094</v>
      </c>
      <c r="P45" s="1">
        <v>91.834686279296875</v>
      </c>
      <c r="Q45" s="1">
        <v>48.541599273681641</v>
      </c>
    </row>
    <row r="46" spans="1:28">
      <c r="A46" s="1">
        <v>-620.9056396484375</v>
      </c>
      <c r="B46" s="1">
        <v>389.53826904296875</v>
      </c>
      <c r="C46" s="1">
        <v>692.65789794921875</v>
      </c>
      <c r="E46" s="1">
        <v>208.6405029296875</v>
      </c>
      <c r="F46" s="1">
        <v>-431.67059326171875</v>
      </c>
      <c r="G46" s="1">
        <v>408.6693115234375</v>
      </c>
      <c r="J46" s="1">
        <v>194.15962219238281</v>
      </c>
      <c r="K46" s="1">
        <v>-91.819320678710938</v>
      </c>
      <c r="L46" s="1">
        <v>556.3321533203125</v>
      </c>
      <c r="O46" s="1">
        <v>-8.6258907318115234</v>
      </c>
      <c r="P46" s="1">
        <v>37.851142883300781</v>
      </c>
      <c r="Q46" s="1">
        <v>101.58273315429688</v>
      </c>
    </row>
    <row r="47" spans="1:28">
      <c r="A47" s="1">
        <v>-694.6378173828125</v>
      </c>
      <c r="B47" s="1">
        <v>437.36788940429688</v>
      </c>
      <c r="C47" s="1">
        <v>601.6658935546875</v>
      </c>
      <c r="E47" s="1">
        <v>-113.33943939208984</v>
      </c>
      <c r="F47" s="1">
        <v>238.91835021972656</v>
      </c>
      <c r="G47" s="1">
        <v>824.61114501953125</v>
      </c>
      <c r="J47" s="1">
        <v>-215.66868591308594</v>
      </c>
      <c r="K47" s="1">
        <v>-365.03854370117188</v>
      </c>
      <c r="L47" s="1">
        <v>4.0587420463562012</v>
      </c>
      <c r="O47" s="1">
        <v>-284.70980834960938</v>
      </c>
      <c r="P47" s="1">
        <v>-401.26522827148438</v>
      </c>
      <c r="Q47" s="1">
        <v>-95.141754150390625</v>
      </c>
    </row>
    <row r="48" spans="1:28">
      <c r="A48" s="1">
        <v>-1382.2293701171875</v>
      </c>
      <c r="B48" s="1">
        <v>109.18966674804688</v>
      </c>
      <c r="C48" s="1">
        <v>310.43954467773438</v>
      </c>
      <c r="E48" s="1">
        <v>-182.39360046386719</v>
      </c>
      <c r="F48" s="1">
        <v>377.34320068359375</v>
      </c>
      <c r="G48" s="1">
        <v>517.58416748046875</v>
      </c>
      <c r="J48" s="1">
        <v>-389.71182250976563</v>
      </c>
      <c r="K48" s="1">
        <v>-415.34371948242188</v>
      </c>
      <c r="L48" s="1">
        <v>-148.33967590332031</v>
      </c>
      <c r="O48" s="1">
        <v>-454.750732421875</v>
      </c>
      <c r="P48" s="1">
        <v>-429.70187377929688</v>
      </c>
      <c r="Q48" s="1">
        <v>-190.75686645507813</v>
      </c>
    </row>
    <row r="49" spans="1:17">
      <c r="A49" s="1">
        <v>-1374.1099853515625</v>
      </c>
      <c r="B49" s="1">
        <v>-1051.199462890625</v>
      </c>
      <c r="C49" s="1">
        <v>663.55694580078125</v>
      </c>
      <c r="E49" s="1">
        <v>154.53269958496094</v>
      </c>
      <c r="F49" s="1">
        <v>196.43994140625</v>
      </c>
      <c r="G49" s="1">
        <v>41.994712829589844</v>
      </c>
      <c r="J49" s="1">
        <v>-30.997159957885742</v>
      </c>
      <c r="K49" s="1">
        <v>-304.31686401367188</v>
      </c>
      <c r="L49" s="1">
        <v>108.67206573486328</v>
      </c>
      <c r="O49" s="1">
        <v>-254.84637451171875</v>
      </c>
      <c r="P49" s="1">
        <v>221.8302001953125</v>
      </c>
      <c r="Q49" s="1">
        <v>-112.87197875976563</v>
      </c>
    </row>
    <row r="50" spans="1:17">
      <c r="A50" s="1">
        <v>-335.90463256835938</v>
      </c>
      <c r="B50" s="1">
        <v>-871.369873046875</v>
      </c>
      <c r="C50" s="1">
        <v>755.73681640625</v>
      </c>
      <c r="E50" s="1">
        <v>627.857421875</v>
      </c>
      <c r="F50" s="1">
        <v>108.53668212890625</v>
      </c>
      <c r="G50" s="1">
        <v>-90.235366821289063</v>
      </c>
      <c r="J50" s="1">
        <v>104.66281890869141</v>
      </c>
      <c r="K50" s="1">
        <v>31.616262435913086</v>
      </c>
      <c r="L50" s="1">
        <v>319.75021362304688</v>
      </c>
      <c r="O50" s="1">
        <v>-276.48495483398438</v>
      </c>
      <c r="P50" s="1">
        <v>-210.36428833007813</v>
      </c>
      <c r="Q50" s="1">
        <v>49.426967620849609</v>
      </c>
    </row>
    <row r="51" spans="1:17">
      <c r="A51" s="1">
        <v>1064.1522216796875</v>
      </c>
      <c r="B51" s="1">
        <v>12.975353240966797</v>
      </c>
      <c r="C51" s="1">
        <v>500.46359252929688</v>
      </c>
      <c r="E51" s="1">
        <v>458.21734619140625</v>
      </c>
      <c r="F51" s="1">
        <v>200.7037353515625</v>
      </c>
      <c r="G51" s="1">
        <v>62.143932342529297</v>
      </c>
      <c r="J51" s="1">
        <v>279.13137817382813</v>
      </c>
      <c r="K51" s="1">
        <v>194.72906494140625</v>
      </c>
      <c r="L51" s="1">
        <v>130.50022888183594</v>
      </c>
      <c r="O51" s="1">
        <v>98.356910705566406</v>
      </c>
      <c r="P51" s="1">
        <v>-429.23065185546875</v>
      </c>
      <c r="Q51" s="1">
        <v>110.74935150146484</v>
      </c>
    </row>
    <row r="52" spans="1:17">
      <c r="A52" s="1">
        <v>1300.7794189453125</v>
      </c>
      <c r="B52" s="1">
        <v>154.14089965820313</v>
      </c>
      <c r="C52" s="1">
        <v>673.28411865234375</v>
      </c>
      <c r="E52" s="1">
        <v>-141.43446350097656</v>
      </c>
      <c r="F52" s="1">
        <v>93.894218444824219</v>
      </c>
      <c r="G52" s="1">
        <v>-184.97676086425781</v>
      </c>
      <c r="J52" s="1">
        <v>78.096061706542969</v>
      </c>
      <c r="K52" s="1">
        <v>-109.01360321044922</v>
      </c>
      <c r="L52" s="1">
        <v>-379.054443359375</v>
      </c>
      <c r="O52" s="1">
        <v>131.34330749511719</v>
      </c>
      <c r="P52" s="1">
        <v>-100.51107025146484</v>
      </c>
      <c r="Q52" s="1">
        <v>267.90768432617188</v>
      </c>
    </row>
    <row r="53" spans="1:17">
      <c r="A53" s="1">
        <v>398.26602172851563</v>
      </c>
      <c r="B53" s="1">
        <v>-222.68574523925781</v>
      </c>
      <c r="C53" s="1">
        <v>351.2921142578125</v>
      </c>
      <c r="E53" s="1">
        <v>-301.93002319335938</v>
      </c>
      <c r="F53" s="1">
        <v>-191.34498596191406</v>
      </c>
      <c r="G53" s="1">
        <v>-1037.011474609375</v>
      </c>
      <c r="J53" s="1">
        <v>-6.1033382415771484</v>
      </c>
      <c r="K53" s="1">
        <v>-866.65081787109375</v>
      </c>
      <c r="L53" s="1">
        <v>-611.671630859375</v>
      </c>
      <c r="O53" s="1">
        <v>-6.9085664749145508</v>
      </c>
      <c r="P53" s="1">
        <v>-200.11961364746094</v>
      </c>
      <c r="Q53" s="1">
        <v>64.151939392089844</v>
      </c>
    </row>
    <row r="54" spans="1:17">
      <c r="A54" s="1">
        <v>125.14321136474609</v>
      </c>
      <c r="B54" s="1">
        <v>-101.15302276611328</v>
      </c>
      <c r="C54" s="1">
        <v>8.5970077514648438</v>
      </c>
      <c r="E54" s="1">
        <v>-330.39044189453125</v>
      </c>
      <c r="F54" s="1">
        <v>-924.77947998046875</v>
      </c>
      <c r="G54" s="1">
        <v>-1265.0072021484375</v>
      </c>
      <c r="J54" s="1">
        <v>545.494140625</v>
      </c>
      <c r="K54" s="1">
        <v>-984.81927490234375</v>
      </c>
      <c r="L54" s="1">
        <v>-798.42547607421875</v>
      </c>
      <c r="O54" s="1">
        <v>332.67160034179688</v>
      </c>
      <c r="P54" s="1">
        <v>-243.57191467285156</v>
      </c>
      <c r="Q54" s="1">
        <v>-195.15849304199219</v>
      </c>
    </row>
    <row r="55" spans="1:17">
      <c r="A55" s="1">
        <v>118.73915863037109</v>
      </c>
      <c r="B55" s="1">
        <v>306.00469970703125</v>
      </c>
      <c r="C55" s="1">
        <v>-291.17623901367188</v>
      </c>
      <c r="E55" s="1">
        <v>-484.53445434570313</v>
      </c>
      <c r="F55" s="1">
        <v>-1090.9718017578125</v>
      </c>
      <c r="G55" s="1">
        <v>-1227.6044921875</v>
      </c>
      <c r="J55" s="1">
        <v>407.02130126953125</v>
      </c>
      <c r="K55" s="1">
        <v>-486.06192016601563</v>
      </c>
      <c r="L55" s="1">
        <v>-806.37860107421875</v>
      </c>
      <c r="O55" s="1">
        <v>378.78298950195313</v>
      </c>
      <c r="P55" s="1">
        <v>-199.64138793945313</v>
      </c>
      <c r="Q55" s="1">
        <v>-105.29704284667969</v>
      </c>
    </row>
    <row r="56" spans="1:17">
      <c r="A56" s="1">
        <v>300.90542602539063</v>
      </c>
      <c r="B56" s="1">
        <v>558.55303955078125</v>
      </c>
      <c r="C56" s="1">
        <v>-24.308841705322266</v>
      </c>
      <c r="E56" s="1">
        <v>-543.955810546875</v>
      </c>
      <c r="F56" s="1">
        <v>-966.17974853515625</v>
      </c>
      <c r="G56" s="1">
        <v>-1291.3033447265625</v>
      </c>
      <c r="J56" s="1">
        <v>161.45863342285156</v>
      </c>
      <c r="K56" s="1">
        <v>75.867294311523438</v>
      </c>
      <c r="L56" s="1">
        <v>-488.57388305664063</v>
      </c>
      <c r="O56" s="1">
        <v>85.433456420898438</v>
      </c>
      <c r="P56" s="1">
        <v>-67.72650146484375</v>
      </c>
      <c r="Q56" s="1">
        <v>-162.85746765136719</v>
      </c>
    </row>
    <row r="57" spans="1:17">
      <c r="A57" s="1">
        <v>835.5013427734375</v>
      </c>
      <c r="B57" s="1">
        <v>874.5311279296875</v>
      </c>
      <c r="C57" s="1">
        <v>-273.94146728515625</v>
      </c>
      <c r="E57" s="1">
        <v>-617.70916748046875</v>
      </c>
      <c r="F57" s="1">
        <v>-425.87991333007813</v>
      </c>
      <c r="G57" s="1">
        <v>-1574.135009765625</v>
      </c>
      <c r="J57" s="1">
        <v>304.28268432617188</v>
      </c>
      <c r="K57" s="1">
        <v>164.9176025390625</v>
      </c>
      <c r="L57" s="1">
        <v>-297.5621337890625</v>
      </c>
      <c r="O57" s="1">
        <v>-149.08795166015625</v>
      </c>
      <c r="P57" s="1">
        <v>-50.866294860839844</v>
      </c>
      <c r="Q57" s="1">
        <v>-258.57412719726563</v>
      </c>
    </row>
    <row r="58" spans="1:17">
      <c r="A58" s="1">
        <v>892.4566650390625</v>
      </c>
      <c r="B58" s="1">
        <v>1452.4388427734375</v>
      </c>
      <c r="C58" s="1">
        <v>-514.60528564453125</v>
      </c>
      <c r="E58" s="1">
        <v>-508.67349243164063</v>
      </c>
      <c r="F58" s="1">
        <v>12.818387985229492</v>
      </c>
      <c r="G58" s="1">
        <v>-1411.239990234375</v>
      </c>
      <c r="J58" s="1">
        <v>485.88406372070313</v>
      </c>
      <c r="K58" s="1">
        <v>72.694465637207031</v>
      </c>
      <c r="L58" s="1">
        <v>393.9652099609375</v>
      </c>
      <c r="O58" s="1">
        <v>80.867202758789063</v>
      </c>
      <c r="P58" s="1">
        <v>-125.79515838623047</v>
      </c>
      <c r="Q58" s="1">
        <v>-331.65020751953125</v>
      </c>
    </row>
    <row r="59" spans="1:17">
      <c r="A59" s="1">
        <v>-11.908306121826172</v>
      </c>
      <c r="B59" s="1">
        <v>2281.9560546875</v>
      </c>
      <c r="C59" s="1">
        <v>173.80894470214844</v>
      </c>
      <c r="E59" s="1">
        <v>-117.66514587402344</v>
      </c>
      <c r="F59" s="1">
        <v>-35.295810699462891</v>
      </c>
      <c r="G59" s="1">
        <v>-518.8997802734375</v>
      </c>
      <c r="J59" s="1">
        <v>165.95809936523438</v>
      </c>
      <c r="K59" s="1">
        <v>99.068984985351563</v>
      </c>
      <c r="L59" s="1">
        <v>127.44961547851563</v>
      </c>
      <c r="O59" s="1">
        <v>52.822353363037109</v>
      </c>
      <c r="P59" s="1">
        <v>211.76036071777344</v>
      </c>
      <c r="Q59" s="1">
        <v>329.49249267578125</v>
      </c>
    </row>
    <row r="60" spans="1:17">
      <c r="A60" s="1">
        <v>-160.15611267089844</v>
      </c>
      <c r="B60" s="1">
        <v>3255.98095703125</v>
      </c>
      <c r="C60" s="1">
        <v>239.61383056640625</v>
      </c>
      <c r="E60" s="1">
        <v>-68.430244445800781</v>
      </c>
      <c r="F60" s="1">
        <v>-84.917823791503906</v>
      </c>
      <c r="G60" s="1">
        <v>-262.9814453125</v>
      </c>
      <c r="J60" s="1">
        <v>-180.24130249023438</v>
      </c>
      <c r="K60" s="1">
        <v>-317.74789428710938</v>
      </c>
      <c r="L60" s="1">
        <v>-156.60505676269531</v>
      </c>
      <c r="O60" s="1">
        <v>-203.39436340332031</v>
      </c>
      <c r="P60" s="1">
        <v>450.89401245117188</v>
      </c>
      <c r="Q60" s="1">
        <v>244.31489562988281</v>
      </c>
    </row>
    <row r="61" spans="1:17">
      <c r="A61" s="1">
        <v>-14.458599090576172</v>
      </c>
      <c r="B61" s="1">
        <v>3897.279296875</v>
      </c>
      <c r="C61" s="1">
        <v>-190.12814331054688</v>
      </c>
      <c r="E61" s="1">
        <v>-180.30471801757813</v>
      </c>
      <c r="F61" s="1">
        <v>98.928909301757813</v>
      </c>
      <c r="G61" s="1">
        <v>-270.21932983398438</v>
      </c>
      <c r="J61" s="1">
        <v>-350.57742309570313</v>
      </c>
      <c r="K61" s="1">
        <v>-475.34994506835938</v>
      </c>
      <c r="L61" s="1">
        <v>-409.50347900390625</v>
      </c>
      <c r="O61" s="1">
        <v>-167.907958984375</v>
      </c>
      <c r="P61" s="1">
        <v>309.01983642578125</v>
      </c>
      <c r="Q61" s="1">
        <v>91.137275695800781</v>
      </c>
    </row>
    <row r="62" spans="1:17">
      <c r="A62" s="1">
        <v>-537.2767333984375</v>
      </c>
      <c r="B62" s="1">
        <v>4355.39794921875</v>
      </c>
      <c r="C62" s="1">
        <v>-291.44827270507813</v>
      </c>
      <c r="E62" s="1">
        <v>-155.22996520996094</v>
      </c>
      <c r="F62" s="1">
        <v>228.54908752441406</v>
      </c>
      <c r="G62" s="1">
        <v>95.644340515136719</v>
      </c>
      <c r="J62" s="1">
        <v>-265.21041870117188</v>
      </c>
      <c r="K62" s="1">
        <v>-264.63949584960938</v>
      </c>
      <c r="L62" s="1">
        <v>-369.38626098632813</v>
      </c>
      <c r="O62" s="1">
        <v>39.719066619873047</v>
      </c>
      <c r="P62" s="1">
        <v>191.17691040039063</v>
      </c>
      <c r="Q62" s="1">
        <v>347.89715576171875</v>
      </c>
    </row>
    <row r="63" spans="1:17">
      <c r="A63" s="1">
        <v>-1027.0323486328125</v>
      </c>
      <c r="B63" s="1">
        <v>4577.9462890625</v>
      </c>
      <c r="C63" s="1">
        <v>14.075376510620117</v>
      </c>
      <c r="E63" s="1">
        <v>47.188529968261719</v>
      </c>
      <c r="F63" s="1">
        <v>433.34112548828125</v>
      </c>
      <c r="G63" s="1">
        <v>552.43768310546875</v>
      </c>
      <c r="J63" s="1">
        <v>-390.5230712890625</v>
      </c>
      <c r="K63" s="1">
        <v>-321.49151611328125</v>
      </c>
      <c r="L63" s="1">
        <v>375.93408203125</v>
      </c>
      <c r="O63" s="1">
        <v>520.1077880859375</v>
      </c>
      <c r="P63" s="1">
        <v>-71.501945495605469</v>
      </c>
      <c r="Q63" s="1">
        <v>656.18829345703125</v>
      </c>
    </row>
    <row r="64" spans="1:17">
      <c r="A64" s="1">
        <v>-953.3973388671875</v>
      </c>
      <c r="B64" s="1">
        <v>5263.99462890625</v>
      </c>
      <c r="C64" s="1">
        <v>-579.8228759765625</v>
      </c>
      <c r="E64" s="1">
        <v>160.24765014648438</v>
      </c>
      <c r="F64" s="1">
        <v>387.8675537109375</v>
      </c>
      <c r="G64" s="1">
        <v>-555.7454833984375</v>
      </c>
      <c r="J64" s="1">
        <v>-181.21466064453125</v>
      </c>
      <c r="K64" s="1">
        <v>-227.08575439453125</v>
      </c>
      <c r="L64" s="1">
        <v>448.35595703125</v>
      </c>
      <c r="O64" s="1">
        <v>1005.35205078125</v>
      </c>
      <c r="P64" s="1">
        <v>-36.415180206298828</v>
      </c>
      <c r="Q64" s="1">
        <v>1154.6279296875</v>
      </c>
    </row>
    <row r="65" spans="1:17">
      <c r="A65" s="1">
        <v>-615.9263916015625</v>
      </c>
      <c r="B65" s="1">
        <v>6503.47265625</v>
      </c>
      <c r="C65" s="1">
        <v>-875.2054443359375</v>
      </c>
      <c r="E65" s="1">
        <v>488.7598876953125</v>
      </c>
      <c r="F65" s="1">
        <v>253.27679443359375</v>
      </c>
      <c r="G65" s="1">
        <v>-824.0615234375</v>
      </c>
      <c r="J65" s="1">
        <v>-99.8203125</v>
      </c>
      <c r="K65" s="1">
        <v>185.37861633300781</v>
      </c>
      <c r="L65" s="1">
        <v>473.46536254882813</v>
      </c>
      <c r="O65" s="1">
        <v>1449.51416015625</v>
      </c>
      <c r="P65" s="1">
        <v>424.89035034179688</v>
      </c>
      <c r="Q65" s="1">
        <v>1188.5909423828125</v>
      </c>
    </row>
    <row r="66" spans="1:17">
      <c r="A66" s="1">
        <v>-96.142929077148438</v>
      </c>
      <c r="B66" s="1">
        <v>7217.78662109375</v>
      </c>
      <c r="C66" s="1">
        <v>328.16192626953125</v>
      </c>
      <c r="E66" s="1">
        <v>597.52215576171875</v>
      </c>
      <c r="F66" s="1">
        <v>-21.868654251098633</v>
      </c>
      <c r="G66" s="1">
        <v>-498.08847045898438</v>
      </c>
      <c r="J66" s="1">
        <v>-327.92205810546875</v>
      </c>
      <c r="K66" s="1">
        <v>403.26876831054688</v>
      </c>
      <c r="L66" s="1">
        <v>295.66851806640625</v>
      </c>
      <c r="O66" s="1">
        <v>1743.8209228515625</v>
      </c>
      <c r="P66" s="1">
        <v>695.27398681640625</v>
      </c>
      <c r="Q66" s="1">
        <v>1479.069580078125</v>
      </c>
    </row>
    <row r="67" spans="1:17">
      <c r="A67" s="1">
        <v>148.64051818847656</v>
      </c>
      <c r="B67" s="1">
        <v>7630.3896484375</v>
      </c>
      <c r="C67" s="1">
        <v>1994.216796875</v>
      </c>
      <c r="E67" s="1">
        <v>371.46408081054688</v>
      </c>
      <c r="F67" s="1">
        <v>-76.201606750488281</v>
      </c>
      <c r="G67" s="1">
        <v>-160.10760498046875</v>
      </c>
      <c r="J67" s="1">
        <v>-276.9027099609375</v>
      </c>
      <c r="K67" s="1">
        <v>583.62371826171875</v>
      </c>
      <c r="L67" s="1">
        <v>173.82868957519531</v>
      </c>
      <c r="O67" s="1">
        <v>2635.725341796875</v>
      </c>
      <c r="P67" s="1">
        <v>1509.7982177734375</v>
      </c>
      <c r="Q67" s="1">
        <v>2119.204345703125</v>
      </c>
    </row>
    <row r="68" spans="1:17">
      <c r="A68" s="1">
        <v>743.1661376953125</v>
      </c>
      <c r="B68" s="1">
        <v>8721.0166015625</v>
      </c>
      <c r="C68" s="1">
        <v>3538.974853515625</v>
      </c>
      <c r="E68" s="1">
        <v>310.222412109375</v>
      </c>
      <c r="F68" s="1">
        <v>198.80918884277344</v>
      </c>
      <c r="G68" s="1">
        <v>993.45135498046875</v>
      </c>
      <c r="J68" s="1">
        <v>77.827590942382813</v>
      </c>
      <c r="K68" s="1">
        <v>557.056884765625</v>
      </c>
      <c r="L68" s="1">
        <v>302.85604858398438</v>
      </c>
      <c r="O68" s="1">
        <v>5448.7080078125</v>
      </c>
      <c r="P68" s="1">
        <v>2865.127197265625</v>
      </c>
      <c r="Q68" s="1">
        <v>3609.03466796875</v>
      </c>
    </row>
    <row r="69" spans="1:17">
      <c r="A69" s="1">
        <v>2620.03564453125</v>
      </c>
      <c r="B69" s="1">
        <v>11929.541015625</v>
      </c>
      <c r="C69" s="1">
        <v>5840.95166015625</v>
      </c>
      <c r="E69" s="1">
        <v>398.67996215820313</v>
      </c>
      <c r="F69" s="1">
        <v>292.49188232421875</v>
      </c>
      <c r="G69" s="1">
        <v>932.7760009765625</v>
      </c>
      <c r="J69" s="1">
        <v>-429.55148315429688</v>
      </c>
      <c r="K69" s="1">
        <v>39.298568725585938</v>
      </c>
      <c r="L69" s="1">
        <v>-117.12049102783203</v>
      </c>
      <c r="O69" s="1">
        <v>9462.0341796875</v>
      </c>
      <c r="P69" s="1">
        <v>5079.2685546875</v>
      </c>
      <c r="Q69" s="1">
        <v>6655.98974609375</v>
      </c>
    </row>
    <row r="70" spans="1:17">
      <c r="A70" s="1">
        <v>5945.46728515625</v>
      </c>
      <c r="B70" s="1">
        <v>15555.74609375</v>
      </c>
      <c r="C70" s="1">
        <v>9509.4130859375</v>
      </c>
      <c r="E70" s="1">
        <v>649.66094970703125</v>
      </c>
      <c r="F70" s="1">
        <v>177.93235778808594</v>
      </c>
      <c r="G70" s="1">
        <v>747.4833984375</v>
      </c>
      <c r="J70" s="1">
        <v>-786.96966552734375</v>
      </c>
      <c r="K70" s="1">
        <v>-193.455810546875</v>
      </c>
      <c r="L70" s="1">
        <v>-276.93295288085938</v>
      </c>
      <c r="O70" s="1">
        <v>17036.234375</v>
      </c>
      <c r="P70" s="1">
        <v>8538.96484375</v>
      </c>
      <c r="Q70" s="1">
        <v>11672.734375</v>
      </c>
    </row>
    <row r="71" spans="1:17">
      <c r="A71" s="1">
        <v>11474.2041015625</v>
      </c>
      <c r="B71" s="1">
        <v>23369.154296875</v>
      </c>
      <c r="C71" s="1">
        <v>16523.123046875</v>
      </c>
      <c r="E71" s="1">
        <v>1045.1263427734375</v>
      </c>
      <c r="F71" s="1">
        <v>-0.32246896624565125</v>
      </c>
      <c r="G71" s="1">
        <v>697.26898193359375</v>
      </c>
      <c r="J71" s="1">
        <v>-658.58697509765625</v>
      </c>
      <c r="K71" s="1">
        <v>-92.971923828125</v>
      </c>
      <c r="L71" s="1">
        <v>22.168615341186523</v>
      </c>
      <c r="O71" s="1">
        <v>31739.5625</v>
      </c>
      <c r="P71" s="1">
        <v>17203.01953125</v>
      </c>
      <c r="Q71" s="1">
        <v>20195.205078125</v>
      </c>
    </row>
    <row r="72" spans="1:17">
      <c r="A72" s="1">
        <v>21593.21484375</v>
      </c>
      <c r="B72" s="1">
        <v>37022.1171875</v>
      </c>
      <c r="C72" s="1">
        <v>28353.2109375</v>
      </c>
      <c r="E72" s="1">
        <v>1153.4862060546875</v>
      </c>
      <c r="F72" s="1">
        <v>-72.499168395996094</v>
      </c>
      <c r="G72" s="1">
        <v>714.95294189453125</v>
      </c>
      <c r="J72" s="1">
        <v>-286.08718872070313</v>
      </c>
      <c r="K72" s="1">
        <v>10.10181999206543</v>
      </c>
      <c r="L72" s="1">
        <v>12.699886322021484</v>
      </c>
      <c r="O72" s="1">
        <v>58415.91796875</v>
      </c>
      <c r="P72" s="1">
        <v>33741.21484375</v>
      </c>
      <c r="Q72" s="1">
        <v>37654.11328125</v>
      </c>
    </row>
    <row r="73" spans="1:17">
      <c r="A73" s="1">
        <v>39530.00390625</v>
      </c>
      <c r="B73" s="1">
        <v>59342.453125</v>
      </c>
      <c r="C73" s="1">
        <v>51030.53125</v>
      </c>
      <c r="E73" s="1">
        <v>1142.10009765625</v>
      </c>
      <c r="F73" s="1">
        <v>-8.5664949417114258</v>
      </c>
      <c r="G73" s="1">
        <v>1115.082275390625</v>
      </c>
      <c r="J73" s="1">
        <v>59.459518432617188</v>
      </c>
      <c r="K73" s="1">
        <v>602.156005859375</v>
      </c>
      <c r="L73" s="1">
        <v>193.78584289550781</v>
      </c>
      <c r="O73" s="1">
        <v>100711.1015625</v>
      </c>
      <c r="P73" s="1">
        <v>62421.7109375</v>
      </c>
      <c r="Q73" s="1">
        <v>69019.1875</v>
      </c>
    </row>
    <row r="74" spans="1:17">
      <c r="A74" s="1">
        <v>63676.1015625</v>
      </c>
      <c r="B74" s="1">
        <v>87062.53125</v>
      </c>
      <c r="C74" s="1">
        <v>78934.7421875</v>
      </c>
      <c r="E74" s="1">
        <v>1240.6240234375</v>
      </c>
      <c r="F74" s="1">
        <v>-45.977569580078125</v>
      </c>
      <c r="G74" s="1">
        <v>1121.8209228515625</v>
      </c>
      <c r="J74" s="1">
        <v>-24.032848358154297</v>
      </c>
      <c r="K74" s="1">
        <v>763.84307861328125</v>
      </c>
      <c r="L74" s="1">
        <v>265.53195190429688</v>
      </c>
      <c r="O74" s="1">
        <v>149704.296875</v>
      </c>
      <c r="P74" s="1">
        <v>98829.5390625</v>
      </c>
      <c r="Q74" s="1">
        <v>107060.5703125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3"/>
  <sheetViews>
    <sheetView topLeftCell="A16" workbookViewId="0">
      <selection activeCell="T2" sqref="T2:T36"/>
    </sheetView>
  </sheetViews>
  <sheetFormatPr defaultRowHeight="15"/>
  <sheetData>
    <row r="1" spans="1:28">
      <c r="A1" s="1">
        <v>-1928.028076171875</v>
      </c>
      <c r="B1" s="1">
        <v>995.18255615234375</v>
      </c>
      <c r="C1" s="1">
        <v>-47.714752197265625</v>
      </c>
      <c r="F1" s="1">
        <v>-1310.26513671875</v>
      </c>
      <c r="G1" s="1">
        <v>-2239.9775390625</v>
      </c>
      <c r="H1" s="1">
        <v>870.6427001953125</v>
      </c>
      <c r="K1" s="1">
        <v>-248.91961669921875</v>
      </c>
      <c r="L1" s="1">
        <v>-410.26016235351563</v>
      </c>
      <c r="M1" s="1">
        <v>-251.30233764648438</v>
      </c>
      <c r="P1" s="1">
        <v>-501.97555541992188</v>
      </c>
      <c r="Q1" s="1">
        <v>-505.05810546875</v>
      </c>
      <c r="R1" s="1">
        <v>-323.99957275390625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</row>
    <row r="2" spans="1:28">
      <c r="A2" s="1">
        <v>-1191.4879150390625</v>
      </c>
      <c r="B2" s="1">
        <v>1456.9288330078125</v>
      </c>
      <c r="C2" s="1">
        <v>59.417690277099609</v>
      </c>
      <c r="F2" s="1">
        <v>-950.9803466796875</v>
      </c>
      <c r="G2" s="1">
        <v>-1821.235107421875</v>
      </c>
      <c r="H2" s="1">
        <v>875.01336669921875</v>
      </c>
      <c r="K2" s="1">
        <v>-252.61216735839844</v>
      </c>
      <c r="L2" s="1">
        <v>-239.28782653808594</v>
      </c>
      <c r="M2" s="1">
        <v>-11.398185729980469</v>
      </c>
      <c r="P2" s="1">
        <v>-525.272216796875</v>
      </c>
      <c r="Q2" s="1">
        <v>-833.42889404296875</v>
      </c>
      <c r="R2" s="1">
        <v>-347.3699951171875</v>
      </c>
      <c r="T2" s="3">
        <v>1</v>
      </c>
      <c r="U2" s="1">
        <f>AVERAGE(A1:C1)</f>
        <v>-326.85342407226563</v>
      </c>
      <c r="V2" s="1">
        <f>AVERAGE(F1:H1)</f>
        <v>-893.19999186197913</v>
      </c>
      <c r="W2" s="1">
        <f>AVERAGE(K1:M1)</f>
        <v>-303.49403889973956</v>
      </c>
      <c r="X2" s="1">
        <f>AVERAGE(P1:R1)</f>
        <v>-443.67774454752606</v>
      </c>
      <c r="Y2" s="1">
        <f>AVERAGE(A39:C39)</f>
        <v>850.39970906575525</v>
      </c>
      <c r="Z2" s="1">
        <f>AVERAGE(F39:H39)</f>
        <v>146.65822347005209</v>
      </c>
      <c r="AA2" s="1">
        <f>AVERAGE(K39:M39)</f>
        <v>261.51073201497394</v>
      </c>
      <c r="AB2" s="1">
        <f>AVERAGE(P39:R39)</f>
        <v>-687.84360758463538</v>
      </c>
    </row>
    <row r="3" spans="1:28">
      <c r="A3" s="1">
        <v>-62.472980499267578</v>
      </c>
      <c r="B3" s="1">
        <v>170.93684387207031</v>
      </c>
      <c r="C3" s="1">
        <v>272.22201538085938</v>
      </c>
      <c r="F3" s="1">
        <v>-515.48065185546875</v>
      </c>
      <c r="G3" s="1">
        <v>-233.74652099609375</v>
      </c>
      <c r="H3" s="1">
        <v>450.36849975585938</v>
      </c>
      <c r="K3" s="1">
        <v>-284.87503051757813</v>
      </c>
      <c r="L3" s="1">
        <v>-395.71786499023438</v>
      </c>
      <c r="M3" s="1">
        <v>90.630973815917969</v>
      </c>
      <c r="P3" s="1">
        <v>-201.99861145019531</v>
      </c>
      <c r="Q3" s="1">
        <v>-467.69815063476563</v>
      </c>
      <c r="R3" s="1">
        <v>-84.912322998046875</v>
      </c>
      <c r="T3" s="3">
        <v>2</v>
      </c>
      <c r="U3" s="1">
        <f>AVERAGE(A2:C2)</f>
        <v>108.28620274861653</v>
      </c>
      <c r="V3" s="1">
        <f>AVERAGE(F2:H2)</f>
        <v>-632.40069580078125</v>
      </c>
      <c r="W3" s="1">
        <f>AVERAGE(K2:M2)</f>
        <v>-167.76605987548828</v>
      </c>
      <c r="X3" s="1">
        <f>AVERAGE(P2:R2)</f>
        <v>-568.69036865234375</v>
      </c>
      <c r="Y3" s="1">
        <f>AVERAGE(A40:C40)</f>
        <v>593.1302490234375</v>
      </c>
      <c r="Z3" s="1">
        <f>AVERAGE(F40:H40)</f>
        <v>217.91233317057291</v>
      </c>
      <c r="AA3" s="1">
        <f>AVERAGE(K40:M40)</f>
        <v>165.58577473958334</v>
      </c>
      <c r="AB3" s="1">
        <f>AVERAGE(P40:R40)</f>
        <v>-694.17366027832031</v>
      </c>
    </row>
    <row r="4" spans="1:28">
      <c r="A4" s="1">
        <v>266.43447875976563</v>
      </c>
      <c r="B4" s="1">
        <v>-528.66845703125</v>
      </c>
      <c r="C4" s="1">
        <v>325.84661865234375</v>
      </c>
      <c r="F4" s="1">
        <v>-239.55128479003906</v>
      </c>
      <c r="G4" s="1">
        <v>-84.238388061523438</v>
      </c>
      <c r="H4" s="1">
        <v>-490.60064697265625</v>
      </c>
      <c r="K4" s="1">
        <v>-267.63790893554688</v>
      </c>
      <c r="L4" s="1">
        <v>-435.26504516601563</v>
      </c>
      <c r="M4" s="1">
        <v>456.57418823242188</v>
      </c>
      <c r="P4" s="1">
        <v>-38.115604400634766</v>
      </c>
      <c r="Q4" s="1">
        <v>-192.9010009765625</v>
      </c>
      <c r="R4" s="1">
        <v>228.61566162109375</v>
      </c>
      <c r="T4" s="3">
        <v>3</v>
      </c>
      <c r="U4" s="1">
        <f t="shared" ref="U4:U36" si="0">AVERAGE(A3:C3)</f>
        <v>126.89529291788737</v>
      </c>
      <c r="V4" s="1">
        <f t="shared" ref="V4:V36" si="1">AVERAGE(F3:H3)</f>
        <v>-99.619557698567704</v>
      </c>
      <c r="W4" s="1">
        <f t="shared" ref="W4:W36" si="2">AVERAGE(K3:M3)</f>
        <v>-196.65397389729819</v>
      </c>
      <c r="X4" s="1">
        <f t="shared" ref="X4:X36" si="3">AVERAGE(P3:R3)</f>
        <v>-251.53636169433594</v>
      </c>
      <c r="Y4" s="1">
        <f t="shared" ref="Y4:Y36" si="4">AVERAGE(A41:C41)</f>
        <v>374.16019694010419</v>
      </c>
      <c r="Z4" s="1">
        <f t="shared" ref="Z4:Z36" si="5">AVERAGE(F41:H41)</f>
        <v>583.14302571614587</v>
      </c>
      <c r="AA4" s="1">
        <f t="shared" ref="AA4:AA36" si="6">AVERAGE(K41:M41)</f>
        <v>68.185525258382157</v>
      </c>
      <c r="AB4" s="1">
        <f t="shared" ref="AB4:AB36" si="7">AVERAGE(P41:R41)</f>
        <v>-402.23556518554688</v>
      </c>
    </row>
    <row r="5" spans="1:28">
      <c r="A5" s="1">
        <v>-123.80455017089844</v>
      </c>
      <c r="B5" s="1">
        <v>-187.09793090820313</v>
      </c>
      <c r="C5" s="1">
        <v>153.26814270019531</v>
      </c>
      <c r="F5" s="1">
        <v>595.35467529296875</v>
      </c>
      <c r="G5" s="1">
        <v>-55.308376312255859</v>
      </c>
      <c r="H5" s="1">
        <v>-527.26507568359375</v>
      </c>
      <c r="K5" s="1">
        <v>41.640232086181641</v>
      </c>
      <c r="L5" s="1">
        <v>-251.92555236816406</v>
      </c>
      <c r="M5" s="1">
        <v>594.56817626953125</v>
      </c>
      <c r="P5" s="1">
        <v>171.88069152832031</v>
      </c>
      <c r="Q5" s="1">
        <v>-572.97882080078125</v>
      </c>
      <c r="R5" s="1">
        <v>119.32334899902344</v>
      </c>
      <c r="T5" s="3">
        <v>4</v>
      </c>
      <c r="U5" s="1">
        <f t="shared" si="0"/>
        <v>21.204213460286457</v>
      </c>
      <c r="V5" s="1">
        <f t="shared" si="1"/>
        <v>-271.46343994140625</v>
      </c>
      <c r="W5" s="1">
        <f t="shared" si="2"/>
        <v>-82.109588623046875</v>
      </c>
      <c r="X5" s="1">
        <f t="shared" si="3"/>
        <v>-0.8003145853678385</v>
      </c>
      <c r="Y5" s="1">
        <f t="shared" si="4"/>
        <v>390.67455037434894</v>
      </c>
      <c r="Z5" s="1">
        <f t="shared" si="5"/>
        <v>371.730463663737</v>
      </c>
      <c r="AA5" s="1">
        <f t="shared" si="6"/>
        <v>86.09257062276204</v>
      </c>
      <c r="AB5" s="1">
        <f t="shared" si="7"/>
        <v>-355.81045532226563</v>
      </c>
    </row>
    <row r="6" spans="1:28">
      <c r="A6" s="1">
        <v>-295.1041259765625</v>
      </c>
      <c r="B6" s="1">
        <v>72.066314697265625</v>
      </c>
      <c r="C6" s="1">
        <v>-558.13067626953125</v>
      </c>
      <c r="F6" s="1">
        <v>303.37387084960938</v>
      </c>
      <c r="G6" s="1">
        <v>594.15679931640625</v>
      </c>
      <c r="H6" s="1">
        <v>153.23455810546875</v>
      </c>
      <c r="K6" s="1">
        <v>114.76603698730469</v>
      </c>
      <c r="L6" s="1">
        <v>-333.99227905273438</v>
      </c>
      <c r="M6" s="1">
        <v>129.37469482421875</v>
      </c>
      <c r="P6" s="1">
        <v>116.28713226318359</v>
      </c>
      <c r="Q6" s="1">
        <v>-186.15823364257813</v>
      </c>
      <c r="R6" s="1">
        <v>307.82791137695313</v>
      </c>
      <c r="T6" s="3">
        <v>5</v>
      </c>
      <c r="U6" s="1">
        <f t="shared" si="0"/>
        <v>-52.544779459635414</v>
      </c>
      <c r="V6" s="1">
        <f t="shared" si="1"/>
        <v>4.2604077657063799</v>
      </c>
      <c r="W6" s="1">
        <f t="shared" si="2"/>
        <v>128.09428532918295</v>
      </c>
      <c r="X6" s="1">
        <f t="shared" si="3"/>
        <v>-93.9249267578125</v>
      </c>
      <c r="Y6" s="1">
        <f t="shared" si="4"/>
        <v>297.72273254394531</v>
      </c>
      <c r="Z6" s="1">
        <f t="shared" si="5"/>
        <v>27.614786783854168</v>
      </c>
      <c r="AA6" s="1">
        <f t="shared" si="6"/>
        <v>282.04520670572919</v>
      </c>
      <c r="AB6" s="1">
        <f t="shared" si="7"/>
        <v>-79.598901112874344</v>
      </c>
    </row>
    <row r="7" spans="1:28">
      <c r="A7" s="1">
        <v>-86.054084777832031</v>
      </c>
      <c r="B7" s="1">
        <v>513.6094970703125</v>
      </c>
      <c r="C7" s="1">
        <v>-614.99822998046875</v>
      </c>
      <c r="F7" s="1">
        <v>-195.41941833496094</v>
      </c>
      <c r="G7" s="1">
        <v>206.32118225097656</v>
      </c>
      <c r="H7" s="1">
        <v>549.94903564453125</v>
      </c>
      <c r="K7" s="1">
        <v>388.821533203125</v>
      </c>
      <c r="L7" s="1">
        <v>-81.684028625488281</v>
      </c>
      <c r="M7" s="1">
        <v>-63.748500823974609</v>
      </c>
      <c r="P7" s="1">
        <v>81.404510498046875</v>
      </c>
      <c r="Q7" s="1">
        <v>1316.814697265625</v>
      </c>
      <c r="R7" s="1">
        <v>-149.81597900390625</v>
      </c>
      <c r="T7" s="3">
        <v>6</v>
      </c>
      <c r="U7" s="1">
        <f t="shared" si="0"/>
        <v>-260.38949584960938</v>
      </c>
      <c r="V7" s="1">
        <f t="shared" si="1"/>
        <v>350.25507609049481</v>
      </c>
      <c r="W7" s="1">
        <f t="shared" si="2"/>
        <v>-29.950515747070313</v>
      </c>
      <c r="X7" s="1">
        <f t="shared" si="3"/>
        <v>79.31893666585286</v>
      </c>
      <c r="Y7" s="1">
        <f t="shared" si="4"/>
        <v>-63.617085774739586</v>
      </c>
      <c r="Z7" s="1">
        <f t="shared" si="5"/>
        <v>-118.49047597249348</v>
      </c>
      <c r="AA7" s="1">
        <f t="shared" si="6"/>
        <v>235.62152099609375</v>
      </c>
      <c r="AB7" s="1">
        <f t="shared" si="7"/>
        <v>59.409548441569008</v>
      </c>
    </row>
    <row r="8" spans="1:28">
      <c r="A8" s="1">
        <v>91.310409545898438</v>
      </c>
      <c r="B8" s="1">
        <v>436.54324340820313</v>
      </c>
      <c r="C8" s="1">
        <v>-361.98297119140625</v>
      </c>
      <c r="F8" s="1">
        <v>-18.974431991577148</v>
      </c>
      <c r="G8" s="1">
        <v>-162.90896606445313</v>
      </c>
      <c r="H8" s="1">
        <v>108.87444305419922</v>
      </c>
      <c r="K8" s="1">
        <v>258.05084228515625</v>
      </c>
      <c r="L8" s="1">
        <v>1412.206298828125</v>
      </c>
      <c r="M8" s="1">
        <v>-92.477157592773438</v>
      </c>
      <c r="P8" s="1">
        <v>-12.274978637695313</v>
      </c>
      <c r="Q8" s="1">
        <v>969.54547119140625</v>
      </c>
      <c r="R8" s="1">
        <v>-628.6629638671875</v>
      </c>
      <c r="T8" s="3">
        <v>7</v>
      </c>
      <c r="U8" s="1">
        <f t="shared" si="0"/>
        <v>-62.480939229329429</v>
      </c>
      <c r="V8" s="1">
        <f t="shared" si="1"/>
        <v>186.95026652018228</v>
      </c>
      <c r="W8" s="1">
        <f t="shared" si="2"/>
        <v>81.129667917887375</v>
      </c>
      <c r="X8" s="1">
        <f t="shared" si="3"/>
        <v>416.13440958658856</v>
      </c>
      <c r="Y8" s="1">
        <f t="shared" si="4"/>
        <v>-281.27200826009113</v>
      </c>
      <c r="Z8" s="1">
        <f t="shared" si="5"/>
        <v>-212.46293004353842</v>
      </c>
      <c r="AA8" s="1">
        <f t="shared" si="6"/>
        <v>94.541586716969803</v>
      </c>
      <c r="AB8" s="1">
        <f t="shared" si="7"/>
        <v>185.90494791666666</v>
      </c>
    </row>
    <row r="9" spans="1:28">
      <c r="A9" s="1">
        <v>713.6846923828125</v>
      </c>
      <c r="B9" s="1">
        <v>208.76217651367188</v>
      </c>
      <c r="C9" s="1">
        <v>174.50883483886719</v>
      </c>
      <c r="F9" s="1">
        <v>400.60336303710938</v>
      </c>
      <c r="G9" s="1">
        <v>-127.70160675048828</v>
      </c>
      <c r="H9" s="1">
        <v>-53.184524536132813</v>
      </c>
      <c r="K9" s="1">
        <v>76.991096496582031</v>
      </c>
      <c r="L9" s="1">
        <v>2050.990966796875</v>
      </c>
      <c r="M9" s="1">
        <v>-30.619876861572266</v>
      </c>
      <c r="P9" s="1">
        <v>13.244748115539551</v>
      </c>
      <c r="Q9" s="1">
        <v>400.67074584960938</v>
      </c>
      <c r="R9" s="1">
        <v>-347.68185424804688</v>
      </c>
      <c r="T9" s="3">
        <v>8</v>
      </c>
      <c r="U9" s="1">
        <f t="shared" si="0"/>
        <v>55.290227254231773</v>
      </c>
      <c r="V9" s="1">
        <f t="shared" si="1"/>
        <v>-24.336318333943684</v>
      </c>
      <c r="W9" s="1">
        <f t="shared" si="2"/>
        <v>525.92666117350257</v>
      </c>
      <c r="X9" s="1">
        <f t="shared" si="3"/>
        <v>109.53584289550781</v>
      </c>
      <c r="Y9" s="1">
        <f t="shared" si="4"/>
        <v>-234.73422241210938</v>
      </c>
      <c r="Z9" s="1">
        <f t="shared" si="5"/>
        <v>-103.43276214599609</v>
      </c>
      <c r="AA9" s="1">
        <f t="shared" si="6"/>
        <v>-287.97584279378253</v>
      </c>
      <c r="AB9" s="1">
        <f t="shared" si="7"/>
        <v>269.05402247111004</v>
      </c>
    </row>
    <row r="10" spans="1:28">
      <c r="A10" s="1">
        <v>-503.99380493164063</v>
      </c>
      <c r="B10" s="1">
        <v>-686.15167236328125</v>
      </c>
      <c r="C10" s="1">
        <v>609.26629638671875</v>
      </c>
      <c r="F10" s="1">
        <v>122.54445648193359</v>
      </c>
      <c r="G10" s="1">
        <v>-260.4473876953125</v>
      </c>
      <c r="H10" s="1">
        <v>-191.37629699707031</v>
      </c>
      <c r="K10" s="1">
        <v>45.269241333007813</v>
      </c>
      <c r="L10" s="1">
        <v>279.04153442382813</v>
      </c>
      <c r="M10" s="1">
        <v>412.99911499023438</v>
      </c>
      <c r="P10" s="1">
        <v>-45.204277038574219</v>
      </c>
      <c r="Q10" s="1">
        <v>-34.590694427490234</v>
      </c>
      <c r="R10" s="1">
        <v>4.5258245468139648</v>
      </c>
      <c r="T10" s="3">
        <v>9</v>
      </c>
      <c r="U10" s="1">
        <f t="shared" si="0"/>
        <v>365.65190124511719</v>
      </c>
      <c r="V10" s="1">
        <f t="shared" si="1"/>
        <v>73.239077250162765</v>
      </c>
      <c r="W10" s="1">
        <f t="shared" si="2"/>
        <v>699.12072881062829</v>
      </c>
      <c r="X10" s="1">
        <f t="shared" si="3"/>
        <v>22.077879905700684</v>
      </c>
      <c r="Y10" s="1">
        <f t="shared" si="4"/>
        <v>-23.46466064453125</v>
      </c>
      <c r="Z10" s="1">
        <f t="shared" si="5"/>
        <v>197.09217834472656</v>
      </c>
      <c r="AA10" s="1">
        <f t="shared" si="6"/>
        <v>-341.7510821024577</v>
      </c>
      <c r="AB10" s="1">
        <f t="shared" si="7"/>
        <v>66.393183390299484</v>
      </c>
    </row>
    <row r="11" spans="1:28">
      <c r="A11" s="1">
        <v>-753.83636474609375</v>
      </c>
      <c r="B11" s="1">
        <v>-39.432758331298828</v>
      </c>
      <c r="C11" s="1">
        <v>922.53936767578125</v>
      </c>
      <c r="F11" s="1">
        <v>-10.338671684265137</v>
      </c>
      <c r="G11" s="1">
        <v>123.87326049804688</v>
      </c>
      <c r="H11" s="1">
        <v>-42.513393402099609</v>
      </c>
      <c r="K11" s="1">
        <v>372.08255004882813</v>
      </c>
      <c r="L11" s="1">
        <v>-284.27520751953125</v>
      </c>
      <c r="M11" s="1">
        <v>223.71186828613281</v>
      </c>
      <c r="P11" s="1">
        <v>-85.223609924316406</v>
      </c>
      <c r="Q11" s="1">
        <v>-714.79351806640625</v>
      </c>
      <c r="R11" s="1">
        <v>550.7803955078125</v>
      </c>
      <c r="T11" s="3">
        <v>10</v>
      </c>
      <c r="U11" s="1">
        <f t="shared" si="0"/>
        <v>-193.62639363606772</v>
      </c>
      <c r="V11" s="1">
        <f t="shared" si="1"/>
        <v>-109.75974273681641</v>
      </c>
      <c r="W11" s="1">
        <f t="shared" si="2"/>
        <v>245.76996358235678</v>
      </c>
      <c r="X11" s="1">
        <f t="shared" si="3"/>
        <v>-25.089715639750164</v>
      </c>
      <c r="Y11" s="1">
        <f t="shared" si="4"/>
        <v>107.74497985839844</v>
      </c>
      <c r="Z11" s="1">
        <f t="shared" si="5"/>
        <v>129.22909736633301</v>
      </c>
      <c r="AA11" s="1">
        <f t="shared" si="6"/>
        <v>-197.15783182779947</v>
      </c>
      <c r="AB11" s="1">
        <f t="shared" si="7"/>
        <v>70.708896636962891</v>
      </c>
    </row>
    <row r="12" spans="1:28">
      <c r="A12" s="1">
        <v>315.23321533203125</v>
      </c>
      <c r="B12" s="1">
        <v>1332.2470703125</v>
      </c>
      <c r="C12" s="1">
        <v>1628.2420654296875</v>
      </c>
      <c r="F12" s="1">
        <v>-257.6671142578125</v>
      </c>
      <c r="G12" s="1">
        <v>342.51031494140625</v>
      </c>
      <c r="H12" s="1">
        <v>524.7908935546875</v>
      </c>
      <c r="K12" s="1">
        <v>175.89974975585938</v>
      </c>
      <c r="L12" s="1">
        <v>-496.85757446289063</v>
      </c>
      <c r="M12" s="1">
        <v>-315.75506591796875</v>
      </c>
      <c r="P12" s="1">
        <v>8.9679908752441406</v>
      </c>
      <c r="Q12" s="1">
        <v>-517.91046142578125</v>
      </c>
      <c r="R12" s="1">
        <v>509.78494262695313</v>
      </c>
      <c r="T12" s="3">
        <v>11</v>
      </c>
      <c r="U12" s="1">
        <f t="shared" si="0"/>
        <v>43.090081532796226</v>
      </c>
      <c r="V12" s="1">
        <f t="shared" si="1"/>
        <v>23.673731803894043</v>
      </c>
      <c r="W12" s="1">
        <f t="shared" si="2"/>
        <v>103.83973693847656</v>
      </c>
      <c r="X12" s="1">
        <f t="shared" si="3"/>
        <v>-83.078910827636719</v>
      </c>
      <c r="Y12" s="1">
        <f t="shared" si="4"/>
        <v>-137.82921854654947</v>
      </c>
      <c r="Z12" s="1">
        <f t="shared" si="5"/>
        <v>-78.120956420898438</v>
      </c>
      <c r="AA12" s="1">
        <f t="shared" si="6"/>
        <v>-63.785945494969688</v>
      </c>
      <c r="AB12" s="1">
        <f t="shared" si="7"/>
        <v>345.64442094167072</v>
      </c>
    </row>
    <row r="13" spans="1:28">
      <c r="A13" s="1">
        <v>1536.0078125</v>
      </c>
      <c r="B13" s="1">
        <v>2707.829345703125</v>
      </c>
      <c r="C13" s="1">
        <v>2661.70263671875</v>
      </c>
      <c r="F13" s="1">
        <v>-184.44477844238281</v>
      </c>
      <c r="G13" s="1">
        <v>796.2723388671875</v>
      </c>
      <c r="H13" s="1">
        <v>1012.74755859375</v>
      </c>
      <c r="K13" s="1">
        <v>-537.91192626953125</v>
      </c>
      <c r="L13" s="1">
        <v>-557.36181640625</v>
      </c>
      <c r="M13" s="1">
        <v>-698.17510986328125</v>
      </c>
      <c r="P13" s="1">
        <v>965.18304443359375</v>
      </c>
      <c r="Q13" s="1">
        <v>-364.640625</v>
      </c>
      <c r="R13" s="1">
        <v>1407.32861328125</v>
      </c>
      <c r="T13" s="3">
        <v>12</v>
      </c>
      <c r="U13" s="1">
        <f t="shared" si="0"/>
        <v>1091.907450358073</v>
      </c>
      <c r="V13" s="1">
        <f t="shared" si="1"/>
        <v>203.21136474609375</v>
      </c>
      <c r="W13" s="1">
        <f t="shared" si="2"/>
        <v>-212.23763020833334</v>
      </c>
      <c r="X13" s="1">
        <f t="shared" si="3"/>
        <v>0.28082402547200519</v>
      </c>
      <c r="Y13" s="1">
        <f t="shared" si="4"/>
        <v>-383.976318359375</v>
      </c>
      <c r="Z13" s="1">
        <f t="shared" si="5"/>
        <v>-167.58559672037759</v>
      </c>
      <c r="AA13" s="1">
        <f t="shared" si="6"/>
        <v>-93.108058929443359</v>
      </c>
      <c r="AB13" s="1">
        <f t="shared" si="7"/>
        <v>392.92630004882813</v>
      </c>
    </row>
    <row r="14" spans="1:28">
      <c r="A14" s="1">
        <v>3179.628173828125</v>
      </c>
      <c r="B14" s="1">
        <v>4810.85302734375</v>
      </c>
      <c r="C14" s="1">
        <v>3861.882080078125</v>
      </c>
      <c r="F14" s="1">
        <v>-21.679473876953125</v>
      </c>
      <c r="G14" s="1">
        <v>1450.089111328125</v>
      </c>
      <c r="H14" s="1">
        <v>2298.934814453125</v>
      </c>
      <c r="K14" s="1">
        <v>-625.2001953125</v>
      </c>
      <c r="L14" s="1">
        <v>-565.40118408203125</v>
      </c>
      <c r="M14" s="1">
        <v>-686.51318359375</v>
      </c>
      <c r="P14" s="1">
        <v>2073.82373046875</v>
      </c>
      <c r="Q14" s="1">
        <v>-129.09346008300781</v>
      </c>
      <c r="R14" s="1">
        <v>2291.9501953125</v>
      </c>
      <c r="T14" s="3">
        <v>13</v>
      </c>
      <c r="U14" s="1">
        <f t="shared" si="0"/>
        <v>2301.8465983072915</v>
      </c>
      <c r="V14" s="1">
        <f t="shared" si="1"/>
        <v>541.52503967285156</v>
      </c>
      <c r="W14" s="1">
        <f t="shared" si="2"/>
        <v>-597.8162841796875</v>
      </c>
      <c r="X14" s="1">
        <f t="shared" si="3"/>
        <v>669.29034423828125</v>
      </c>
      <c r="Y14" s="1">
        <f t="shared" si="4"/>
        <v>-165.58697509765625</v>
      </c>
      <c r="Z14" s="1">
        <f t="shared" si="5"/>
        <v>-81.034614562988281</v>
      </c>
      <c r="AA14" s="1">
        <f t="shared" si="6"/>
        <v>88.621905008951828</v>
      </c>
      <c r="AB14" s="1">
        <f t="shared" si="7"/>
        <v>433.79932657877606</v>
      </c>
    </row>
    <row r="15" spans="1:28">
      <c r="A15" s="1">
        <v>6368.56884765625</v>
      </c>
      <c r="B15" s="1">
        <v>10068.275390625</v>
      </c>
      <c r="C15" s="1">
        <v>7327.9912109375</v>
      </c>
      <c r="F15" s="1">
        <v>1356.8592529296875</v>
      </c>
      <c r="G15" s="1">
        <v>3350.39404296875</v>
      </c>
      <c r="H15" s="1">
        <v>3742.239013671875</v>
      </c>
      <c r="K15" s="1">
        <v>1.9216916561126709</v>
      </c>
      <c r="L15" s="1">
        <v>-425.65933227539063</v>
      </c>
      <c r="M15" s="1">
        <v>-267.9254150390625</v>
      </c>
      <c r="P15" s="1">
        <v>4324.0703125</v>
      </c>
      <c r="Q15" s="1">
        <v>1713.7896728515625</v>
      </c>
      <c r="R15" s="1">
        <v>4649.330078125</v>
      </c>
      <c r="T15" s="3">
        <v>14</v>
      </c>
      <c r="U15" s="1">
        <f t="shared" si="0"/>
        <v>3950.7877604166665</v>
      </c>
      <c r="V15" s="1">
        <f t="shared" si="1"/>
        <v>1242.4481506347656</v>
      </c>
      <c r="W15" s="1">
        <f t="shared" si="2"/>
        <v>-625.70485432942712</v>
      </c>
      <c r="X15" s="1">
        <f t="shared" si="3"/>
        <v>1412.2268218994141</v>
      </c>
      <c r="Y15" s="1">
        <f t="shared" si="4"/>
        <v>-138.78357696533203</v>
      </c>
      <c r="Z15" s="1">
        <f t="shared" si="5"/>
        <v>-176.33517901102701</v>
      </c>
      <c r="AA15" s="1">
        <f t="shared" si="6"/>
        <v>118.13833109537761</v>
      </c>
      <c r="AB15" s="1">
        <f t="shared" si="7"/>
        <v>104.55514780680339</v>
      </c>
    </row>
    <row r="16" spans="1:28">
      <c r="A16" s="1">
        <v>12824.685546875</v>
      </c>
      <c r="B16" s="1">
        <v>15257.095703125</v>
      </c>
      <c r="C16" s="1">
        <v>13109.005859375</v>
      </c>
      <c r="F16" s="1">
        <v>3606.37451171875</v>
      </c>
      <c r="G16" s="1">
        <v>6710.72265625</v>
      </c>
      <c r="H16" s="1">
        <v>7341.08251953125</v>
      </c>
      <c r="K16" s="1">
        <v>301.9771728515625</v>
      </c>
      <c r="L16" s="1">
        <v>100.30126190185547</v>
      </c>
      <c r="M16" s="1">
        <v>-215.36500549316406</v>
      </c>
      <c r="P16" s="1">
        <v>8459.55078125</v>
      </c>
      <c r="Q16" s="1">
        <v>5456.1103515625</v>
      </c>
      <c r="R16" s="1">
        <v>8835.505859375</v>
      </c>
      <c r="T16" s="3">
        <v>15</v>
      </c>
      <c r="U16" s="1">
        <f t="shared" si="0"/>
        <v>7921.61181640625</v>
      </c>
      <c r="V16" s="1">
        <f t="shared" si="1"/>
        <v>2816.4974365234375</v>
      </c>
      <c r="W16" s="1">
        <f t="shared" si="2"/>
        <v>-230.55435188611349</v>
      </c>
      <c r="X16" s="1">
        <f t="shared" si="3"/>
        <v>3562.396687825521</v>
      </c>
      <c r="Y16" s="1">
        <f t="shared" si="4"/>
        <v>-120.15204366048177</v>
      </c>
      <c r="Z16" s="1">
        <f t="shared" si="5"/>
        <v>-258.91439692179364</v>
      </c>
      <c r="AA16" s="1">
        <f t="shared" si="6"/>
        <v>90.804494222005204</v>
      </c>
      <c r="AB16" s="1">
        <f t="shared" si="7"/>
        <v>12.837023417154947</v>
      </c>
    </row>
    <row r="17" spans="1:28">
      <c r="A17" s="1">
        <v>25284.90625</v>
      </c>
      <c r="B17" s="1">
        <v>24573.853515625</v>
      </c>
      <c r="C17" s="1">
        <v>24840.998046875</v>
      </c>
      <c r="F17" s="1">
        <v>9174.0927734375</v>
      </c>
      <c r="G17" s="1">
        <v>13998.5234375</v>
      </c>
      <c r="H17" s="1">
        <v>14152.62890625</v>
      </c>
      <c r="K17" s="1">
        <v>200.44477844238281</v>
      </c>
      <c r="L17" s="1">
        <v>7.3438944816589355</v>
      </c>
      <c r="M17" s="1">
        <v>-280.18350219726563</v>
      </c>
      <c r="P17" s="1">
        <v>16947.87890625</v>
      </c>
      <c r="Q17" s="1">
        <v>12920.6923828125</v>
      </c>
      <c r="R17" s="1">
        <v>16716.46484375</v>
      </c>
      <c r="T17" s="3">
        <v>16</v>
      </c>
      <c r="U17" s="1">
        <f t="shared" si="0"/>
        <v>13730.262369791666</v>
      </c>
      <c r="V17" s="1">
        <f t="shared" si="1"/>
        <v>5886.059895833333</v>
      </c>
      <c r="W17" s="1">
        <f t="shared" si="2"/>
        <v>62.304476420084633</v>
      </c>
      <c r="X17" s="1">
        <f t="shared" si="3"/>
        <v>7583.722330729167</v>
      </c>
      <c r="Y17" s="1">
        <f t="shared" si="4"/>
        <v>-121.80435180664063</v>
      </c>
      <c r="Z17" s="1">
        <f t="shared" si="5"/>
        <v>-319.92851511637372</v>
      </c>
      <c r="AA17" s="1">
        <f t="shared" si="6"/>
        <v>5.8808110555013018</v>
      </c>
      <c r="AB17" s="1">
        <f t="shared" si="7"/>
        <v>-192.94881184895834</v>
      </c>
    </row>
    <row r="18" spans="1:28">
      <c r="A18" s="1">
        <v>47582.73828125</v>
      </c>
      <c r="B18" s="1">
        <v>41565.45703125</v>
      </c>
      <c r="C18" s="1">
        <v>46908.46484375</v>
      </c>
      <c r="F18" s="1">
        <v>18968.419921875</v>
      </c>
      <c r="G18" s="1">
        <v>27770.8984375</v>
      </c>
      <c r="H18" s="1">
        <v>27112.59765625</v>
      </c>
      <c r="K18" s="1">
        <v>72.988548278808594</v>
      </c>
      <c r="L18" s="1">
        <v>-345.62518310546875</v>
      </c>
      <c r="M18" s="1">
        <v>-289.77154541015625</v>
      </c>
      <c r="P18" s="1">
        <v>32409.51953125</v>
      </c>
      <c r="Q18" s="1">
        <v>27607.548828125</v>
      </c>
      <c r="R18" s="1">
        <v>31092.21875</v>
      </c>
      <c r="T18" s="3">
        <v>17</v>
      </c>
      <c r="U18" s="1">
        <f t="shared" si="0"/>
        <v>24899.919270833332</v>
      </c>
      <c r="V18" s="1">
        <f t="shared" si="1"/>
        <v>12441.748372395834</v>
      </c>
      <c r="W18" s="1">
        <f t="shared" si="2"/>
        <v>-24.131609757741291</v>
      </c>
      <c r="X18" s="1">
        <f t="shared" si="3"/>
        <v>15528.345377604166</v>
      </c>
      <c r="Y18" s="1">
        <f t="shared" si="4"/>
        <v>-74.378557840983078</v>
      </c>
      <c r="Z18" s="1">
        <f t="shared" si="5"/>
        <v>-264.45565541585285</v>
      </c>
      <c r="AA18" s="1">
        <f t="shared" si="6"/>
        <v>188.13031005859375</v>
      </c>
      <c r="AB18" s="1">
        <f t="shared" si="7"/>
        <v>-340.7164357503255</v>
      </c>
    </row>
    <row r="19" spans="1:28">
      <c r="A19" s="1">
        <v>85924.796875</v>
      </c>
      <c r="B19" s="1">
        <v>68615.109375</v>
      </c>
      <c r="C19" s="1">
        <v>82506.9140625</v>
      </c>
      <c r="F19" s="1">
        <v>36221.95703125</v>
      </c>
      <c r="G19" s="1">
        <v>50828.9296875</v>
      </c>
      <c r="H19" s="1">
        <v>49276.15234375</v>
      </c>
      <c r="K19" s="1">
        <v>-60.141506195068359</v>
      </c>
      <c r="L19" s="1">
        <v>-333.85989379882813</v>
      </c>
      <c r="M19" s="1">
        <v>-72.808784484863281</v>
      </c>
      <c r="P19" s="1">
        <v>60348.94921875</v>
      </c>
      <c r="Q19" s="1">
        <v>54079.03515625</v>
      </c>
      <c r="R19" s="1">
        <v>54011.73046875</v>
      </c>
      <c r="T19" s="3">
        <v>18</v>
      </c>
      <c r="U19" s="1">
        <f t="shared" si="0"/>
        <v>45352.220052083336</v>
      </c>
      <c r="V19" s="1">
        <f t="shared" si="1"/>
        <v>24617.305338541668</v>
      </c>
      <c r="W19" s="1">
        <f t="shared" si="2"/>
        <v>-187.46939341227213</v>
      </c>
      <c r="X19" s="1">
        <f t="shared" si="3"/>
        <v>30369.762369791668</v>
      </c>
      <c r="Y19" s="1">
        <f t="shared" si="4"/>
        <v>-198.04649861653647</v>
      </c>
      <c r="Z19" s="1">
        <f t="shared" si="5"/>
        <v>-235.77706146240234</v>
      </c>
      <c r="AA19" s="1">
        <f t="shared" si="6"/>
        <v>146.29257202148438</v>
      </c>
      <c r="AB19" s="1">
        <f t="shared" si="7"/>
        <v>-414.06215413411456</v>
      </c>
    </row>
    <row r="20" spans="1:28">
      <c r="A20" s="1">
        <v>143567.015625</v>
      </c>
      <c r="B20" s="1">
        <v>109492.8125</v>
      </c>
      <c r="C20" s="1">
        <v>136417.5</v>
      </c>
      <c r="F20" s="1">
        <v>63058.59375</v>
      </c>
      <c r="G20" s="1">
        <v>87554.796875</v>
      </c>
      <c r="H20" s="1">
        <v>83980.9140625</v>
      </c>
      <c r="K20" s="1">
        <v>-92.498123168945313</v>
      </c>
      <c r="L20" s="1">
        <v>-36.6961669921875</v>
      </c>
      <c r="M20" s="1">
        <v>230.63442993164063</v>
      </c>
      <c r="P20" s="1">
        <v>107526.3359375</v>
      </c>
      <c r="Q20" s="1">
        <v>96686.703125</v>
      </c>
      <c r="R20" s="1">
        <v>83882.2578125</v>
      </c>
      <c r="T20" s="3">
        <v>19</v>
      </c>
      <c r="U20" s="1">
        <f t="shared" si="0"/>
        <v>79015.606770833328</v>
      </c>
      <c r="V20" s="1">
        <f t="shared" si="1"/>
        <v>45442.346354166664</v>
      </c>
      <c r="W20" s="1">
        <f t="shared" si="2"/>
        <v>-155.60339482625326</v>
      </c>
      <c r="X20" s="1">
        <f t="shared" si="3"/>
        <v>56146.571614583336</v>
      </c>
      <c r="Y20" s="1">
        <f t="shared" si="4"/>
        <v>-96.961850484212235</v>
      </c>
      <c r="Z20" s="1">
        <f t="shared" si="5"/>
        <v>-524.54377746582031</v>
      </c>
      <c r="AA20" s="1">
        <f t="shared" si="6"/>
        <v>229.27384440104166</v>
      </c>
      <c r="AB20" s="1">
        <f t="shared" si="7"/>
        <v>-314.238605817159</v>
      </c>
    </row>
    <row r="21" spans="1:28">
      <c r="A21" s="1">
        <v>214846.1875</v>
      </c>
      <c r="B21" s="1">
        <v>157830.3125</v>
      </c>
      <c r="C21" s="1">
        <v>203211.1875</v>
      </c>
      <c r="F21" s="1">
        <v>97350.640625</v>
      </c>
      <c r="G21" s="1">
        <v>135684.578125</v>
      </c>
      <c r="H21" s="1">
        <v>129841.515625</v>
      </c>
      <c r="K21" s="1">
        <v>-165.07545471191406</v>
      </c>
      <c r="L21" s="1">
        <v>34.350376129150391</v>
      </c>
      <c r="M21" s="1">
        <v>239.91749572753906</v>
      </c>
      <c r="P21" s="1">
        <v>177636.703125</v>
      </c>
      <c r="Q21" s="1">
        <v>151328.484375</v>
      </c>
      <c r="R21" s="1">
        <v>117549.3515625</v>
      </c>
      <c r="T21" s="3">
        <v>20</v>
      </c>
      <c r="U21" s="1">
        <f t="shared" si="0"/>
        <v>129825.77604166667</v>
      </c>
      <c r="V21" s="1">
        <f t="shared" si="1"/>
        <v>78198.1015625</v>
      </c>
      <c r="W21" s="1">
        <f t="shared" si="2"/>
        <v>33.813379923502602</v>
      </c>
      <c r="X21" s="1">
        <f t="shared" si="3"/>
        <v>96031.765625</v>
      </c>
      <c r="Y21" s="1">
        <f t="shared" si="4"/>
        <v>92.698338826497391</v>
      </c>
      <c r="Z21" s="1">
        <f t="shared" si="5"/>
        <v>-448.71676635742188</v>
      </c>
      <c r="AA21" s="1">
        <f t="shared" si="6"/>
        <v>3.88140869140625</v>
      </c>
      <c r="AB21" s="1">
        <f t="shared" si="7"/>
        <v>-76.878615061442062</v>
      </c>
    </row>
    <row r="22" spans="1:28">
      <c r="A22" s="1">
        <v>282910.28125</v>
      </c>
      <c r="B22" s="1">
        <v>203947.109375</v>
      </c>
      <c r="C22" s="1">
        <v>269211.40625</v>
      </c>
      <c r="F22" s="1">
        <v>136271.09375</v>
      </c>
      <c r="G22" s="1">
        <v>189295.78125</v>
      </c>
      <c r="H22" s="1">
        <v>180696.796875</v>
      </c>
      <c r="K22" s="1">
        <v>-53.07659912109375</v>
      </c>
      <c r="L22" s="1">
        <v>-7.5171451568603516</v>
      </c>
      <c r="M22" s="1">
        <v>136.6693115234375</v>
      </c>
      <c r="P22" s="1">
        <v>261692.578125</v>
      </c>
      <c r="Q22" s="1">
        <v>208191.953125</v>
      </c>
      <c r="R22" s="1">
        <v>147802.59375</v>
      </c>
      <c r="T22" s="3">
        <v>21</v>
      </c>
      <c r="U22" s="1">
        <f t="shared" si="0"/>
        <v>191962.5625</v>
      </c>
      <c r="V22" s="1">
        <f t="shared" si="1"/>
        <v>120958.91145833333</v>
      </c>
      <c r="W22" s="1">
        <f t="shared" si="2"/>
        <v>36.397472381591797</v>
      </c>
      <c r="X22" s="1">
        <f t="shared" si="3"/>
        <v>148838.1796875</v>
      </c>
      <c r="Y22" s="1">
        <f t="shared" si="4"/>
        <v>116.18403498331706</v>
      </c>
      <c r="Z22" s="1">
        <f t="shared" si="5"/>
        <v>144.03995768229166</v>
      </c>
      <c r="AA22" s="1">
        <f t="shared" si="6"/>
        <v>123.86787923177083</v>
      </c>
      <c r="AB22" s="1">
        <f t="shared" si="7"/>
        <v>-159.26600646972656</v>
      </c>
    </row>
    <row r="23" spans="1:28">
      <c r="A23" s="1">
        <v>341644.90625</v>
      </c>
      <c r="B23" s="1">
        <v>244584.84375</v>
      </c>
      <c r="C23" s="1">
        <v>327813.875</v>
      </c>
      <c r="F23" s="1">
        <v>175404.640625</v>
      </c>
      <c r="G23" s="1">
        <v>240926.0625</v>
      </c>
      <c r="H23" s="1">
        <v>230705.65625</v>
      </c>
      <c r="K23" s="1">
        <v>-85.484001159667969</v>
      </c>
      <c r="L23" s="1">
        <v>111.94345855712891</v>
      </c>
      <c r="M23" s="1">
        <v>-120.96950531005859</v>
      </c>
      <c r="P23" s="1">
        <v>347580.46875</v>
      </c>
      <c r="Q23" s="1">
        <v>259565.109375</v>
      </c>
      <c r="R23" s="1">
        <v>173911.140625</v>
      </c>
      <c r="T23" s="3">
        <v>22</v>
      </c>
      <c r="U23" s="1">
        <f t="shared" si="0"/>
        <v>252022.93229166666</v>
      </c>
      <c r="V23" s="1">
        <f t="shared" si="1"/>
        <v>168754.55729166666</v>
      </c>
      <c r="W23" s="1">
        <f t="shared" si="2"/>
        <v>25.358522415161133</v>
      </c>
      <c r="X23" s="1">
        <f t="shared" si="3"/>
        <v>205895.70833333334</v>
      </c>
      <c r="Y23" s="1">
        <f t="shared" si="4"/>
        <v>180.06036376953125</v>
      </c>
      <c r="Z23" s="1">
        <f t="shared" si="5"/>
        <v>477.87220255533856</v>
      </c>
      <c r="AA23" s="1">
        <f t="shared" si="6"/>
        <v>112.5040995279948</v>
      </c>
      <c r="AB23" s="1">
        <f t="shared" si="7"/>
        <v>-79.872151692708329</v>
      </c>
    </row>
    <row r="24" spans="1:28">
      <c r="A24" s="1">
        <v>388812.0625</v>
      </c>
      <c r="B24" s="1">
        <v>277078.28125</v>
      </c>
      <c r="C24" s="1">
        <v>376227.28125</v>
      </c>
      <c r="F24" s="1">
        <v>212558.546875</v>
      </c>
      <c r="G24" s="1">
        <v>288514.78125</v>
      </c>
      <c r="H24" s="1">
        <v>278326.625</v>
      </c>
      <c r="K24" s="1">
        <v>66.378128051757813</v>
      </c>
      <c r="L24" s="1">
        <v>471.329833984375</v>
      </c>
      <c r="M24" s="1">
        <v>-180.70988464355469</v>
      </c>
      <c r="P24" s="1">
        <v>428249.03125</v>
      </c>
      <c r="Q24" s="1">
        <v>304657.78125</v>
      </c>
      <c r="R24" s="1">
        <v>195320.625</v>
      </c>
      <c r="T24" s="3">
        <v>23</v>
      </c>
      <c r="U24" s="1">
        <f t="shared" si="0"/>
        <v>304681.20833333331</v>
      </c>
      <c r="V24" s="1">
        <f t="shared" si="1"/>
        <v>215678.78645833334</v>
      </c>
      <c r="W24" s="1">
        <f t="shared" si="2"/>
        <v>-31.503349304199219</v>
      </c>
      <c r="X24" s="1">
        <f t="shared" si="3"/>
        <v>260352.23958333334</v>
      </c>
      <c r="Y24" s="1">
        <f t="shared" si="4"/>
        <v>122.05126317342122</v>
      </c>
      <c r="Z24" s="1">
        <f t="shared" si="5"/>
        <v>217.42058308919272</v>
      </c>
      <c r="AA24" s="1">
        <f t="shared" si="6"/>
        <v>121.37208811442058</v>
      </c>
      <c r="AB24" s="1">
        <f t="shared" si="7"/>
        <v>130.99565633138022</v>
      </c>
    </row>
    <row r="25" spans="1:28">
      <c r="A25" s="1">
        <v>424966.75</v>
      </c>
      <c r="B25" s="1">
        <v>302554.59375</v>
      </c>
      <c r="C25" s="1">
        <v>413869.375</v>
      </c>
      <c r="F25" s="1">
        <v>246428.1875</v>
      </c>
      <c r="G25" s="1">
        <v>329752.90625</v>
      </c>
      <c r="H25" s="1">
        <v>321666.21875</v>
      </c>
      <c r="K25" s="1">
        <v>-6.9140357971191406</v>
      </c>
      <c r="L25" s="1">
        <v>214.21623229980469</v>
      </c>
      <c r="M25" s="1">
        <v>-88.20025634765625</v>
      </c>
      <c r="P25" s="1">
        <v>500363.28125</v>
      </c>
      <c r="Q25" s="1">
        <v>343090</v>
      </c>
      <c r="R25" s="1">
        <v>213970.765625</v>
      </c>
      <c r="T25" s="3">
        <v>24</v>
      </c>
      <c r="U25" s="1">
        <f t="shared" si="0"/>
        <v>347372.54166666669</v>
      </c>
      <c r="V25" s="1">
        <f t="shared" si="1"/>
        <v>259799.984375</v>
      </c>
      <c r="W25" s="1">
        <f t="shared" si="2"/>
        <v>118.99935913085938</v>
      </c>
      <c r="X25" s="1">
        <f t="shared" si="3"/>
        <v>309409.14583333331</v>
      </c>
      <c r="Y25" s="1">
        <f t="shared" si="4"/>
        <v>193.83384068806967</v>
      </c>
      <c r="Z25" s="1">
        <f t="shared" si="5"/>
        <v>211.27365620930991</v>
      </c>
      <c r="AA25" s="1">
        <f t="shared" si="6"/>
        <v>457.29346720377606</v>
      </c>
      <c r="AB25" s="1">
        <f t="shared" si="7"/>
        <v>-49.51934814453125</v>
      </c>
    </row>
    <row r="26" spans="1:28">
      <c r="A26" s="1">
        <v>453995.375</v>
      </c>
      <c r="B26" s="1">
        <v>322487.8125</v>
      </c>
      <c r="C26" s="1">
        <v>444254.78125</v>
      </c>
      <c r="F26" s="1">
        <v>278983.65625</v>
      </c>
      <c r="G26" s="1">
        <v>365064.34375</v>
      </c>
      <c r="H26" s="1">
        <v>359298.78125</v>
      </c>
      <c r="K26" s="1">
        <v>-33.100734710693359</v>
      </c>
      <c r="L26" s="1">
        <v>-129.88566589355469</v>
      </c>
      <c r="M26" s="1">
        <v>-39.237506866455078</v>
      </c>
      <c r="P26" s="1">
        <v>562788.625</v>
      </c>
      <c r="Q26" s="1">
        <v>374351.71875</v>
      </c>
      <c r="R26" s="1">
        <v>227995.640625</v>
      </c>
      <c r="T26" s="3">
        <v>25</v>
      </c>
      <c r="U26" s="1">
        <f t="shared" si="0"/>
        <v>380463.57291666669</v>
      </c>
      <c r="V26" s="1">
        <f t="shared" si="1"/>
        <v>299282.4375</v>
      </c>
      <c r="W26" s="1">
        <f t="shared" si="2"/>
        <v>39.700646718343101</v>
      </c>
      <c r="X26" s="1">
        <f t="shared" si="3"/>
        <v>352474.68229166669</v>
      </c>
      <c r="Y26" s="1">
        <f t="shared" si="4"/>
        <v>186.19975789388022</v>
      </c>
      <c r="Z26" s="1">
        <f t="shared" si="5"/>
        <v>408.85067494710285</v>
      </c>
      <c r="AA26" s="1">
        <f t="shared" si="6"/>
        <v>373.40232849121094</v>
      </c>
      <c r="AB26" s="1">
        <f t="shared" si="7"/>
        <v>-187.64372253417969</v>
      </c>
    </row>
    <row r="27" spans="1:28">
      <c r="A27" s="1">
        <v>475577.53125</v>
      </c>
      <c r="B27" s="1">
        <v>338052.90625</v>
      </c>
      <c r="C27" s="1">
        <v>467422.625</v>
      </c>
      <c r="F27" s="1">
        <v>311211.90625</v>
      </c>
      <c r="G27" s="1">
        <v>395348.625</v>
      </c>
      <c r="H27" s="1">
        <v>391243.96875</v>
      </c>
      <c r="K27" s="1">
        <v>-130.75813293457031</v>
      </c>
      <c r="L27" s="1">
        <v>25.918689727783203</v>
      </c>
      <c r="M27" s="1">
        <v>92.998680114746094</v>
      </c>
      <c r="P27" s="1">
        <v>615198.75</v>
      </c>
      <c r="Q27" s="1">
        <v>399176.8125</v>
      </c>
      <c r="R27" s="1">
        <v>239262.71875</v>
      </c>
      <c r="T27" s="3">
        <v>26</v>
      </c>
      <c r="U27" s="1">
        <f t="shared" si="0"/>
        <v>406912.65625</v>
      </c>
      <c r="V27" s="1">
        <f t="shared" si="1"/>
        <v>334448.92708333331</v>
      </c>
      <c r="W27" s="1">
        <f t="shared" si="2"/>
        <v>-67.407969156901046</v>
      </c>
      <c r="X27" s="1">
        <f t="shared" si="3"/>
        <v>388378.66145833331</v>
      </c>
      <c r="Y27" s="1">
        <f t="shared" si="4"/>
        <v>191.07087198893228</v>
      </c>
      <c r="Z27" s="1">
        <f t="shared" si="5"/>
        <v>640.74281819661462</v>
      </c>
      <c r="AA27" s="1">
        <f t="shared" si="6"/>
        <v>367.84715016682941</v>
      </c>
      <c r="AB27" s="1">
        <f t="shared" si="7"/>
        <v>68.632939656575516</v>
      </c>
    </row>
    <row r="28" spans="1:28">
      <c r="A28" s="1">
        <v>492221.4375</v>
      </c>
      <c r="B28" s="1">
        <v>350093.1875</v>
      </c>
      <c r="C28" s="1">
        <v>485707.09375</v>
      </c>
      <c r="F28" s="1">
        <v>344257.65625</v>
      </c>
      <c r="G28" s="1">
        <v>419690.84375</v>
      </c>
      <c r="H28" s="1">
        <v>418663.21875</v>
      </c>
      <c r="K28" s="1">
        <v>-40.009284973144531</v>
      </c>
      <c r="L28" s="1">
        <v>641.9534912109375</v>
      </c>
      <c r="M28" s="1">
        <v>178.04736328125</v>
      </c>
      <c r="P28" s="1">
        <v>659152.5</v>
      </c>
      <c r="Q28" s="1">
        <v>420102.875</v>
      </c>
      <c r="R28" s="1">
        <v>248823.859375</v>
      </c>
      <c r="T28" s="3">
        <v>27</v>
      </c>
      <c r="U28" s="1">
        <f t="shared" si="0"/>
        <v>427017.6875</v>
      </c>
      <c r="V28" s="1">
        <f t="shared" si="1"/>
        <v>365934.83333333331</v>
      </c>
      <c r="W28" s="1">
        <f t="shared" si="2"/>
        <v>-3.9469210306803384</v>
      </c>
      <c r="X28" s="1">
        <f t="shared" si="3"/>
        <v>417879.42708333331</v>
      </c>
      <c r="Y28" s="1">
        <f t="shared" si="4"/>
        <v>364.57218424479169</v>
      </c>
      <c r="Z28" s="1">
        <f t="shared" si="5"/>
        <v>797.8797607421875</v>
      </c>
      <c r="AA28" s="1">
        <f t="shared" si="6"/>
        <v>541.51850891113281</v>
      </c>
      <c r="AB28" s="1">
        <f t="shared" si="7"/>
        <v>699.76375325520837</v>
      </c>
    </row>
    <row r="29" spans="1:28">
      <c r="A29" s="1">
        <v>505203.59375</v>
      </c>
      <c r="B29" s="1">
        <v>360797</v>
      </c>
      <c r="C29" s="1">
        <v>500416.75</v>
      </c>
      <c r="F29" s="1">
        <v>372338.40625</v>
      </c>
      <c r="G29" s="1">
        <v>440341.96875</v>
      </c>
      <c r="H29" s="1">
        <v>442836.125</v>
      </c>
      <c r="K29" s="1">
        <v>37.74542236328125</v>
      </c>
      <c r="L29" s="1">
        <v>984.24615478515625</v>
      </c>
      <c r="M29" s="1">
        <v>249.62730407714844</v>
      </c>
      <c r="P29" s="1">
        <v>697780.75</v>
      </c>
      <c r="Q29" s="1">
        <v>436783.375</v>
      </c>
      <c r="R29" s="1">
        <v>254735.53125</v>
      </c>
      <c r="T29" s="3">
        <v>28</v>
      </c>
      <c r="U29" s="1">
        <f t="shared" si="0"/>
        <v>442673.90625</v>
      </c>
      <c r="V29" s="1">
        <f t="shared" si="1"/>
        <v>394203.90625</v>
      </c>
      <c r="W29" s="1">
        <f t="shared" si="2"/>
        <v>259.99718983968097</v>
      </c>
      <c r="X29" s="1">
        <f t="shared" si="3"/>
        <v>442693.078125</v>
      </c>
      <c r="Y29" s="1">
        <f t="shared" si="4"/>
        <v>740.99020258585608</v>
      </c>
      <c r="Z29" s="1">
        <f t="shared" si="5"/>
        <v>909.2249755859375</v>
      </c>
      <c r="AA29" s="1">
        <f t="shared" si="6"/>
        <v>475.45420328776044</v>
      </c>
      <c r="AB29" s="1">
        <f t="shared" si="7"/>
        <v>1631.7226969401042</v>
      </c>
    </row>
    <row r="30" spans="1:28">
      <c r="A30" s="1">
        <v>516510.125</v>
      </c>
      <c r="B30" s="1">
        <v>369444.09375</v>
      </c>
      <c r="C30" s="1">
        <v>512645.59375</v>
      </c>
      <c r="F30" s="1">
        <v>399346.21875</v>
      </c>
      <c r="G30" s="1">
        <v>458355.8125</v>
      </c>
      <c r="H30" s="1">
        <v>464074.65625</v>
      </c>
      <c r="K30" s="1">
        <v>67.330207824707031</v>
      </c>
      <c r="L30" s="1">
        <v>1150.288818359375</v>
      </c>
      <c r="M30" s="1">
        <v>220.06271362304688</v>
      </c>
      <c r="P30" s="1">
        <v>730842.9375</v>
      </c>
      <c r="Q30" s="1">
        <v>451447.625</v>
      </c>
      <c r="R30" s="1">
        <v>259645.21875</v>
      </c>
      <c r="T30" s="3">
        <v>29</v>
      </c>
      <c r="U30" s="1">
        <f t="shared" si="0"/>
        <v>455472.44791666669</v>
      </c>
      <c r="V30" s="1">
        <f t="shared" si="1"/>
        <v>418505.5</v>
      </c>
      <c r="W30" s="1">
        <f t="shared" si="2"/>
        <v>423.87296040852863</v>
      </c>
      <c r="X30" s="1">
        <f t="shared" si="3"/>
        <v>463099.88541666669</v>
      </c>
      <c r="Y30" s="1">
        <f t="shared" si="4"/>
        <v>1311.186787923177</v>
      </c>
      <c r="Z30" s="1">
        <f t="shared" si="5"/>
        <v>1000.3488972981771</v>
      </c>
      <c r="AA30" s="1">
        <f t="shared" si="6"/>
        <v>380.27922058105469</v>
      </c>
      <c r="AB30" s="1">
        <f t="shared" si="7"/>
        <v>3364.4680989583335</v>
      </c>
    </row>
    <row r="31" spans="1:28">
      <c r="A31" s="1">
        <v>524067.8125</v>
      </c>
      <c r="B31" s="1">
        <v>375391.34375</v>
      </c>
      <c r="C31" s="1">
        <v>522176.21875</v>
      </c>
      <c r="F31" s="1">
        <v>423413.90625</v>
      </c>
      <c r="G31" s="1">
        <v>473516</v>
      </c>
      <c r="H31" s="1">
        <v>481700.96875</v>
      </c>
      <c r="K31" s="1">
        <v>6.7040586471557617</v>
      </c>
      <c r="L31" s="1">
        <v>1417.8353271484375</v>
      </c>
      <c r="M31" s="1">
        <v>102.04889678955078</v>
      </c>
      <c r="P31" s="1">
        <v>758406.875</v>
      </c>
      <c r="Q31" s="1">
        <v>462758</v>
      </c>
      <c r="R31" s="1">
        <v>263408.8125</v>
      </c>
      <c r="T31" s="3">
        <v>30</v>
      </c>
      <c r="U31" s="1">
        <f t="shared" si="0"/>
        <v>466199.9375</v>
      </c>
      <c r="V31" s="1">
        <f t="shared" si="1"/>
        <v>440592.22916666669</v>
      </c>
      <c r="W31" s="1">
        <f t="shared" si="2"/>
        <v>479.22724660237628</v>
      </c>
      <c r="X31" s="1">
        <f t="shared" si="3"/>
        <v>480645.26041666669</v>
      </c>
      <c r="Y31" s="1">
        <f t="shared" si="4"/>
        <v>1739.9381510416667</v>
      </c>
      <c r="Z31" s="1">
        <f t="shared" si="5"/>
        <v>1203.8634236653645</v>
      </c>
      <c r="AA31" s="1">
        <f t="shared" si="6"/>
        <v>153.06778462727866</v>
      </c>
      <c r="AB31" s="1">
        <f t="shared" si="7"/>
        <v>6983.716145833333</v>
      </c>
    </row>
    <row r="32" spans="1:28">
      <c r="A32" s="1">
        <v>530071.4375</v>
      </c>
      <c r="B32" s="1">
        <v>380689.84375</v>
      </c>
      <c r="C32" s="1">
        <v>529163.0625</v>
      </c>
      <c r="F32" s="1">
        <v>445381.71875</v>
      </c>
      <c r="G32" s="1">
        <v>485679.4375</v>
      </c>
      <c r="H32" s="1">
        <v>497493.96875</v>
      </c>
      <c r="K32" s="1">
        <v>-112.45919799804688</v>
      </c>
      <c r="L32" s="1">
        <v>1277.0380859375</v>
      </c>
      <c r="M32" s="1">
        <v>-247.87507629394531</v>
      </c>
      <c r="P32" s="1">
        <v>782577.375</v>
      </c>
      <c r="Q32" s="1">
        <v>472519.65625</v>
      </c>
      <c r="R32" s="1">
        <v>265545.59375</v>
      </c>
      <c r="T32" s="3">
        <v>31</v>
      </c>
      <c r="U32" s="1">
        <f t="shared" si="0"/>
        <v>473878.45833333331</v>
      </c>
      <c r="V32" s="1">
        <f t="shared" si="1"/>
        <v>459543.625</v>
      </c>
      <c r="W32" s="1">
        <f t="shared" si="2"/>
        <v>508.86276086171466</v>
      </c>
      <c r="X32" s="1">
        <f t="shared" si="3"/>
        <v>494857.89583333331</v>
      </c>
      <c r="Y32" s="1">
        <f t="shared" si="4"/>
        <v>2669.8118489583335</v>
      </c>
      <c r="Z32" s="1">
        <f t="shared" si="5"/>
        <v>1621.607157389323</v>
      </c>
      <c r="AA32" s="1">
        <f t="shared" si="6"/>
        <v>286.11155192057294</v>
      </c>
      <c r="AB32" s="1">
        <f t="shared" si="7"/>
        <v>13293.815755208334</v>
      </c>
    </row>
    <row r="33" spans="1:28">
      <c r="A33" s="1">
        <v>533467.875</v>
      </c>
      <c r="B33" s="1">
        <v>384890.15625</v>
      </c>
      <c r="C33" s="1">
        <v>535708.1875</v>
      </c>
      <c r="F33" s="1">
        <v>464493.875</v>
      </c>
      <c r="G33" s="1">
        <v>496718.53125</v>
      </c>
      <c r="H33" s="1">
        <v>510545.03125</v>
      </c>
      <c r="K33" s="1">
        <v>31.180273056030273</v>
      </c>
      <c r="L33" s="1">
        <v>1297.342529296875</v>
      </c>
      <c r="M33" s="1">
        <v>-141.12716674804688</v>
      </c>
      <c r="P33" s="1">
        <v>803493.4375</v>
      </c>
      <c r="Q33" s="1">
        <v>480601.375</v>
      </c>
      <c r="R33" s="1">
        <v>266364.09375</v>
      </c>
      <c r="T33" s="3">
        <v>32</v>
      </c>
      <c r="U33" s="1">
        <f t="shared" si="0"/>
        <v>479974.78125</v>
      </c>
      <c r="V33" s="1">
        <f t="shared" si="1"/>
        <v>476185.04166666669</v>
      </c>
      <c r="W33" s="1">
        <f t="shared" si="2"/>
        <v>305.56793721516925</v>
      </c>
      <c r="X33" s="1">
        <f t="shared" si="3"/>
        <v>506880.875</v>
      </c>
      <c r="Y33" s="1">
        <f t="shared" si="4"/>
        <v>4583.958984375</v>
      </c>
      <c r="Z33" s="1">
        <f t="shared" si="5"/>
        <v>2370.3456420898438</v>
      </c>
      <c r="AA33" s="1">
        <f t="shared" si="6"/>
        <v>555.89361317952478</v>
      </c>
      <c r="AB33" s="1">
        <f t="shared" si="7"/>
        <v>25147.365885416668</v>
      </c>
    </row>
    <row r="34" spans="1:28">
      <c r="A34" s="1">
        <v>535523.6875</v>
      </c>
      <c r="B34" s="1">
        <v>388578.75</v>
      </c>
      <c r="C34" s="1">
        <v>539666.625</v>
      </c>
      <c r="F34" s="1">
        <v>481422.15625</v>
      </c>
      <c r="G34" s="1">
        <v>506493.125</v>
      </c>
      <c r="H34" s="1">
        <v>522176.0625</v>
      </c>
      <c r="K34" s="1">
        <v>234.95060729980469</v>
      </c>
      <c r="L34" s="1">
        <v>1615.4945068359375</v>
      </c>
      <c r="M34" s="1">
        <v>473.5972900390625</v>
      </c>
      <c r="P34" s="1">
        <v>821540.375</v>
      </c>
      <c r="Q34" s="1">
        <v>487037.71875</v>
      </c>
      <c r="R34" s="1">
        <v>266976.5</v>
      </c>
      <c r="T34" s="3">
        <v>33</v>
      </c>
      <c r="U34" s="1">
        <f t="shared" si="0"/>
        <v>484688.73958333331</v>
      </c>
      <c r="V34" s="1">
        <f t="shared" si="1"/>
        <v>490585.8125</v>
      </c>
      <c r="W34" s="1">
        <f t="shared" si="2"/>
        <v>395.79854520161945</v>
      </c>
      <c r="X34" s="1">
        <f t="shared" si="3"/>
        <v>516819.63541666669</v>
      </c>
      <c r="Y34" s="1">
        <f t="shared" si="4"/>
        <v>7609.939534505208</v>
      </c>
      <c r="Z34" s="1">
        <f t="shared" si="5"/>
        <v>3871.8314615885415</v>
      </c>
      <c r="AA34" s="1">
        <f t="shared" si="6"/>
        <v>723.3188807169596</v>
      </c>
      <c r="AB34" s="1">
        <f t="shared" si="7"/>
        <v>46154.28125</v>
      </c>
    </row>
    <row r="35" spans="1:28">
      <c r="A35" s="1">
        <v>536671.75</v>
      </c>
      <c r="B35" s="1">
        <v>390421.28125</v>
      </c>
      <c r="C35" s="1">
        <v>540953</v>
      </c>
      <c r="F35" s="1">
        <v>493492.46875</v>
      </c>
      <c r="G35" s="1">
        <v>513175.65625</v>
      </c>
      <c r="H35" s="1">
        <v>530227.3125</v>
      </c>
      <c r="K35" s="1">
        <v>242.56663513183594</v>
      </c>
      <c r="L35" s="1">
        <v>2313.900390625</v>
      </c>
      <c r="M35" s="1">
        <v>608.19287109375</v>
      </c>
      <c r="P35" s="1">
        <v>831255.3125</v>
      </c>
      <c r="Q35" s="1">
        <v>491460.8125</v>
      </c>
      <c r="R35" s="1">
        <v>267596.40625</v>
      </c>
      <c r="T35" s="3">
        <v>34</v>
      </c>
      <c r="U35" s="1">
        <f t="shared" si="0"/>
        <v>487923.02083333331</v>
      </c>
      <c r="V35" s="1">
        <f t="shared" si="1"/>
        <v>503363.78125</v>
      </c>
      <c r="W35" s="1">
        <f t="shared" si="2"/>
        <v>774.68080139160156</v>
      </c>
      <c r="X35" s="1">
        <f t="shared" si="3"/>
        <v>525184.86458333337</v>
      </c>
      <c r="Y35" s="1">
        <f t="shared" si="4"/>
        <v>13479.427571614584</v>
      </c>
      <c r="Z35" s="1">
        <f t="shared" si="5"/>
        <v>6519.859049479167</v>
      </c>
      <c r="AA35" s="1">
        <f t="shared" si="6"/>
        <v>707.80404663085938</v>
      </c>
      <c r="AB35" s="1">
        <f t="shared" si="7"/>
        <v>83636.143229166672</v>
      </c>
    </row>
    <row r="36" spans="1:28">
      <c r="T36" s="3">
        <v>35</v>
      </c>
      <c r="U36" s="1">
        <f t="shared" si="0"/>
        <v>489348.67708333331</v>
      </c>
      <c r="V36" s="1">
        <f t="shared" si="1"/>
        <v>512298.47916666669</v>
      </c>
      <c r="W36" s="1">
        <f t="shared" si="2"/>
        <v>1054.8866322835286</v>
      </c>
      <c r="X36" s="1">
        <f t="shared" si="3"/>
        <v>530104.17708333337</v>
      </c>
      <c r="Y36" s="1">
        <f t="shared" si="4"/>
        <v>21429.580078125</v>
      </c>
      <c r="Z36" s="1">
        <f t="shared" si="5"/>
        <v>10433.38134765625</v>
      </c>
      <c r="AA36" s="1">
        <f t="shared" si="6"/>
        <v>653.06655375162757</v>
      </c>
      <c r="AB36" s="1">
        <f t="shared" si="7"/>
        <v>130751.8125</v>
      </c>
    </row>
    <row r="39" spans="1:28">
      <c r="A39" s="1">
        <v>1373.3040771484375</v>
      </c>
      <c r="B39" s="1">
        <v>-344.86862182617188</v>
      </c>
      <c r="C39" s="1">
        <v>1522.763671875</v>
      </c>
      <c r="F39" s="1">
        <v>764.7314453125</v>
      </c>
      <c r="G39" s="1">
        <v>683.2518310546875</v>
      </c>
      <c r="H39" s="1">
        <v>-1008.0086059570313</v>
      </c>
      <c r="K39" s="1">
        <v>1189.1781005859375</v>
      </c>
      <c r="L39" s="1">
        <v>-671.83685302734375</v>
      </c>
      <c r="M39" s="1">
        <v>267.19094848632813</v>
      </c>
      <c r="P39" s="1">
        <v>-2531.84716796875</v>
      </c>
      <c r="Q39" s="1">
        <v>181.50894165039063</v>
      </c>
      <c r="R39" s="1">
        <v>286.80740356445313</v>
      </c>
    </row>
    <row r="40" spans="1:28">
      <c r="A40" s="1">
        <v>1206.3631591796875</v>
      </c>
      <c r="B40" s="1">
        <v>-578.593017578125</v>
      </c>
      <c r="C40" s="1">
        <v>1151.62060546875</v>
      </c>
      <c r="F40" s="1">
        <v>869.32220458984375</v>
      </c>
      <c r="G40" s="1">
        <v>656.222412109375</v>
      </c>
      <c r="H40" s="1">
        <v>-871.8076171875</v>
      </c>
      <c r="K40" s="1">
        <v>564.69793701171875</v>
      </c>
      <c r="L40" s="1">
        <v>-243.667724609375</v>
      </c>
      <c r="M40" s="1">
        <v>175.72711181640625</v>
      </c>
      <c r="P40" s="1">
        <v>-2336.82958984375</v>
      </c>
      <c r="Q40" s="1">
        <v>125.6744384765625</v>
      </c>
      <c r="R40" s="1">
        <v>128.63417053222656</v>
      </c>
    </row>
    <row r="41" spans="1:28">
      <c r="A41" s="1">
        <v>957.14093017578125</v>
      </c>
      <c r="B41" s="1">
        <v>-716.50494384765625</v>
      </c>
      <c r="C41" s="1">
        <v>881.8446044921875</v>
      </c>
      <c r="F41" s="1">
        <v>795.2410888671875</v>
      </c>
      <c r="G41" s="1">
        <v>750.7867431640625</v>
      </c>
      <c r="H41" s="1">
        <v>203.4012451171875</v>
      </c>
      <c r="K41" s="1">
        <v>-59.469814300537109</v>
      </c>
      <c r="L41" s="1">
        <v>141.31388854980469</v>
      </c>
      <c r="M41" s="1">
        <v>122.71250152587891</v>
      </c>
      <c r="P41" s="1">
        <v>-1448.765380859375</v>
      </c>
      <c r="Q41" s="1">
        <v>279.46493530273438</v>
      </c>
      <c r="R41" s="1">
        <v>-37.40625</v>
      </c>
    </row>
    <row r="42" spans="1:28">
      <c r="A42" s="1">
        <v>684.590576171875</v>
      </c>
      <c r="B42" s="1">
        <v>-339.90121459960938</v>
      </c>
      <c r="C42" s="1">
        <v>827.33428955078125</v>
      </c>
      <c r="F42" s="1">
        <v>194.76930236816406</v>
      </c>
      <c r="G42" s="1">
        <v>551.96044921875</v>
      </c>
      <c r="H42" s="1">
        <v>368.46163940429688</v>
      </c>
      <c r="K42" s="1">
        <v>-109.86411285400391</v>
      </c>
      <c r="L42" s="1">
        <v>28.807229995727539</v>
      </c>
      <c r="M42" s="1">
        <v>339.3345947265625</v>
      </c>
      <c r="P42" s="1">
        <v>-1096.6854248046875</v>
      </c>
      <c r="Q42" s="1">
        <v>229.60697937011719</v>
      </c>
      <c r="R42" s="1">
        <v>-200.35292053222656</v>
      </c>
    </row>
    <row r="43" spans="1:28">
      <c r="A43" s="1">
        <v>114.60270690917969</v>
      </c>
      <c r="B43" s="1">
        <v>308.47592163085938</v>
      </c>
      <c r="C43" s="1">
        <v>470.08956909179688</v>
      </c>
      <c r="F43" s="1">
        <v>-118.35870361328125</v>
      </c>
      <c r="G43" s="1">
        <v>-41.850204467773438</v>
      </c>
      <c r="H43" s="1">
        <v>243.05326843261719</v>
      </c>
      <c r="K43" s="1">
        <v>328.28067016601563</v>
      </c>
      <c r="L43" s="1">
        <v>77.288848876953125</v>
      </c>
      <c r="M43" s="1">
        <v>440.56610107421875</v>
      </c>
      <c r="P43" s="1">
        <v>87.706977844238281</v>
      </c>
      <c r="Q43" s="1">
        <v>28.350597381591797</v>
      </c>
      <c r="R43" s="1">
        <v>-354.85427856445313</v>
      </c>
    </row>
    <row r="44" spans="1:28">
      <c r="A44" s="1">
        <v>-859.0882568359375</v>
      </c>
      <c r="B44" s="1">
        <v>331.00152587890625</v>
      </c>
      <c r="C44" s="1">
        <v>337.2354736328125</v>
      </c>
      <c r="F44" s="1">
        <v>-301.36172485351563</v>
      </c>
      <c r="G44" s="1">
        <v>-172.87181091308594</v>
      </c>
      <c r="H44" s="1">
        <v>118.76210784912109</v>
      </c>
      <c r="K44" s="1">
        <v>210.43714904785156</v>
      </c>
      <c r="L44" s="1">
        <v>252.74311828613281</v>
      </c>
      <c r="M44" s="1">
        <v>243.68429565429688</v>
      </c>
      <c r="P44" s="1">
        <v>534.88848876953125</v>
      </c>
      <c r="Q44" s="1">
        <v>-75.687034606933594</v>
      </c>
      <c r="R44" s="1">
        <v>-280.97280883789063</v>
      </c>
    </row>
    <row r="45" spans="1:28">
      <c r="A45" s="1">
        <v>-848.57611083984375</v>
      </c>
      <c r="B45" s="1">
        <v>-128.56663513183594</v>
      </c>
      <c r="C45" s="1">
        <v>133.32672119140625</v>
      </c>
      <c r="F45" s="1">
        <v>-774.31005859375</v>
      </c>
      <c r="G45" s="1">
        <v>52.309711456298828</v>
      </c>
      <c r="H45" s="1">
        <v>84.611557006835938</v>
      </c>
      <c r="K45" s="1">
        <v>-197.4376220703125</v>
      </c>
      <c r="L45" s="1">
        <v>475.5450439453125</v>
      </c>
      <c r="M45" s="1">
        <v>5.5173382759094238</v>
      </c>
      <c r="P45" s="1">
        <v>380.4761962890625</v>
      </c>
      <c r="Q45" s="1">
        <v>-49.02935791015625</v>
      </c>
      <c r="R45" s="1">
        <v>226.26800537109375</v>
      </c>
    </row>
    <row r="46" spans="1:28">
      <c r="A46" s="1">
        <v>110.15476989746094</v>
      </c>
      <c r="B46" s="1">
        <v>-158.18946838378906</v>
      </c>
      <c r="C46" s="1">
        <v>-656.16796875</v>
      </c>
      <c r="F46" s="1">
        <v>-689.96929931640625</v>
      </c>
      <c r="G46" s="1">
        <v>111.43654632568359</v>
      </c>
      <c r="H46" s="1">
        <v>268.23446655273438</v>
      </c>
      <c r="K46" s="1">
        <v>-342.9881591796875</v>
      </c>
      <c r="L46" s="1">
        <v>-116.78583526611328</v>
      </c>
      <c r="M46" s="1">
        <v>-404.15353393554688</v>
      </c>
      <c r="P46" s="1">
        <v>1015.67333984375</v>
      </c>
      <c r="Q46" s="1">
        <v>-165.25448608398438</v>
      </c>
      <c r="R46" s="1">
        <v>-43.256786346435547</v>
      </c>
    </row>
    <row r="47" spans="1:28">
      <c r="A47" s="1">
        <v>303.12786865234375</v>
      </c>
      <c r="B47" s="1">
        <v>339.86737060546875</v>
      </c>
      <c r="C47" s="1">
        <v>-713.38922119140625</v>
      </c>
      <c r="F47" s="1">
        <v>143.22299194335938</v>
      </c>
      <c r="G47" s="1">
        <v>277.78994750976563</v>
      </c>
      <c r="H47" s="1">
        <v>170.26359558105469</v>
      </c>
      <c r="K47" s="1">
        <v>-63.694957733154297</v>
      </c>
      <c r="L47" s="1">
        <v>-453.96438598632813</v>
      </c>
      <c r="M47" s="1">
        <v>-507.59390258789063</v>
      </c>
      <c r="P47" s="1">
        <v>937.43292236328125</v>
      </c>
      <c r="Q47" s="1">
        <v>-220.80775451660156</v>
      </c>
      <c r="R47" s="1">
        <v>-517.44561767578125</v>
      </c>
    </row>
    <row r="48" spans="1:28">
      <c r="A48" s="1">
        <v>253.78843688964844</v>
      </c>
      <c r="B48" s="1">
        <v>254.24452209472656</v>
      </c>
      <c r="C48" s="1">
        <v>-184.79801940917969</v>
      </c>
      <c r="F48" s="1">
        <v>413.571533203125</v>
      </c>
      <c r="G48" s="1">
        <v>-47.536354064941406</v>
      </c>
      <c r="H48" s="1">
        <v>21.65211296081543</v>
      </c>
      <c r="K48" s="1">
        <v>136.60215759277344</v>
      </c>
      <c r="L48" s="1">
        <v>-333.20150756835938</v>
      </c>
      <c r="M48" s="1">
        <v>-394.8741455078125</v>
      </c>
      <c r="P48" s="1">
        <v>670.9815673828125</v>
      </c>
      <c r="Q48" s="1">
        <v>-33.978199005126953</v>
      </c>
      <c r="R48" s="1">
        <v>-424.87667846679688</v>
      </c>
    </row>
    <row r="49" spans="1:18">
      <c r="A49" s="1">
        <v>91.394332885742188</v>
      </c>
      <c r="B49" s="1">
        <v>-388.76895141601563</v>
      </c>
      <c r="C49" s="1">
        <v>-116.113037109375</v>
      </c>
      <c r="F49" s="1">
        <v>415.57632446289063</v>
      </c>
      <c r="G49" s="1">
        <v>-444.22201538085938</v>
      </c>
      <c r="H49" s="1">
        <v>-205.71717834472656</v>
      </c>
      <c r="K49" s="1">
        <v>130.57504272460938</v>
      </c>
      <c r="L49" s="1">
        <v>-3.5909907817840576</v>
      </c>
      <c r="M49" s="1">
        <v>-318.34188842773438</v>
      </c>
      <c r="P49" s="1">
        <v>595.7412109375</v>
      </c>
      <c r="Q49" s="1">
        <v>-11.804896354675293</v>
      </c>
      <c r="R49" s="1">
        <v>452.9969482421875</v>
      </c>
    </row>
    <row r="50" spans="1:18">
      <c r="A50" s="1">
        <v>-423.562255859375</v>
      </c>
      <c r="B50" s="1">
        <v>-352.46990966796875</v>
      </c>
      <c r="C50" s="1">
        <v>-375.89678955078125</v>
      </c>
      <c r="F50" s="1">
        <v>408.34677124023438</v>
      </c>
      <c r="G50" s="1">
        <v>-716.93115234375</v>
      </c>
      <c r="H50" s="1">
        <v>-194.17240905761719</v>
      </c>
      <c r="K50" s="1">
        <v>-32.440341949462891</v>
      </c>
      <c r="L50" s="1">
        <v>-71.53515625</v>
      </c>
      <c r="M50" s="1">
        <v>-175.34867858886719</v>
      </c>
      <c r="P50" s="1">
        <v>239.77426147460938</v>
      </c>
      <c r="Q50" s="1">
        <v>277.446533203125</v>
      </c>
      <c r="R50" s="1">
        <v>661.55810546875</v>
      </c>
    </row>
    <row r="51" spans="1:18">
      <c r="A51" s="1">
        <v>-424.13604736328125</v>
      </c>
      <c r="B51" s="1">
        <v>404.79788208007813</v>
      </c>
      <c r="C51" s="1">
        <v>-477.42276000976563</v>
      </c>
      <c r="F51" s="1">
        <v>250.5234375</v>
      </c>
      <c r="G51" s="1">
        <v>-610.9761962890625</v>
      </c>
      <c r="H51" s="1">
        <v>117.34891510009766</v>
      </c>
      <c r="K51" s="1">
        <v>-73.373695373535156</v>
      </c>
      <c r="L51" s="1">
        <v>176.81364440917969</v>
      </c>
      <c r="M51" s="1">
        <v>162.42576599121094</v>
      </c>
      <c r="P51" s="1">
        <v>280.63543701171875</v>
      </c>
      <c r="Q51" s="1">
        <v>321.33078002929688</v>
      </c>
      <c r="R51" s="1">
        <v>699.4317626953125</v>
      </c>
    </row>
    <row r="52" spans="1:18">
      <c r="A52" s="1">
        <v>92.399528503417969</v>
      </c>
      <c r="B52" s="1">
        <v>154.70628356933594</v>
      </c>
      <c r="C52" s="1">
        <v>-663.45654296875</v>
      </c>
      <c r="F52" s="1">
        <v>-254.11238098144531</v>
      </c>
      <c r="G52" s="1">
        <v>-20.099332809448242</v>
      </c>
      <c r="H52" s="1">
        <v>-254.7938232421875</v>
      </c>
      <c r="K52" s="1">
        <v>-65.963302612304688</v>
      </c>
      <c r="L52" s="1">
        <v>268.27182006835938</v>
      </c>
      <c r="M52" s="1">
        <v>152.10647583007813</v>
      </c>
      <c r="P52" s="1">
        <v>-8.0033969879150391</v>
      </c>
      <c r="Q52" s="1">
        <v>-28.51154899597168</v>
      </c>
      <c r="R52" s="1">
        <v>350.18038940429688</v>
      </c>
    </row>
    <row r="53" spans="1:18">
      <c r="A53" s="1">
        <v>138.49760437011719</v>
      </c>
      <c r="B53" s="1">
        <v>94.78656005859375</v>
      </c>
      <c r="C53" s="1">
        <v>-593.74029541015625</v>
      </c>
      <c r="F53" s="1">
        <v>-379.80288696289063</v>
      </c>
      <c r="G53" s="1">
        <v>22.324375152587891</v>
      </c>
      <c r="H53" s="1">
        <v>-419.26467895507813</v>
      </c>
      <c r="K53" s="1">
        <v>587.15411376953125</v>
      </c>
      <c r="L53" s="1">
        <v>-442.27389526367188</v>
      </c>
      <c r="M53" s="1">
        <v>127.53326416015625</v>
      </c>
      <c r="P53" s="1">
        <v>127.78746795654297</v>
      </c>
      <c r="Q53" s="1">
        <v>-254.48667907714844</v>
      </c>
      <c r="R53" s="1">
        <v>165.21028137207031</v>
      </c>
    </row>
    <row r="54" spans="1:18">
      <c r="A54" s="1">
        <v>-590.591796875</v>
      </c>
      <c r="B54" s="1">
        <v>422.30435180664063</v>
      </c>
      <c r="C54" s="1">
        <v>-197.1256103515625</v>
      </c>
      <c r="F54" s="1">
        <v>-466.094970703125</v>
      </c>
      <c r="G54" s="1">
        <v>-64.986289978027344</v>
      </c>
      <c r="H54" s="1">
        <v>-428.70428466796875</v>
      </c>
      <c r="K54" s="1">
        <v>729.47857666015625</v>
      </c>
      <c r="L54" s="1">
        <v>-607.28057861328125</v>
      </c>
      <c r="M54" s="1">
        <v>-104.55556488037109</v>
      </c>
      <c r="P54" s="1">
        <v>-462.48416137695313</v>
      </c>
      <c r="Q54" s="1">
        <v>-321.18057250976563</v>
      </c>
      <c r="R54" s="1">
        <v>204.81829833984375</v>
      </c>
    </row>
    <row r="55" spans="1:18">
      <c r="A55" s="1">
        <v>-691.38433837890625</v>
      </c>
      <c r="B55" s="1">
        <v>388.24398803710938</v>
      </c>
      <c r="C55" s="1">
        <v>80.004676818847656</v>
      </c>
      <c r="F55" s="1">
        <v>-382.85580444335938</v>
      </c>
      <c r="G55" s="1">
        <v>-88.554771423339844</v>
      </c>
      <c r="H55" s="1">
        <v>-321.95639038085938</v>
      </c>
      <c r="K55" s="1">
        <v>641.77569580078125</v>
      </c>
      <c r="L55" s="1">
        <v>186.1737060546875</v>
      </c>
      <c r="M55" s="1">
        <v>-263.5584716796875</v>
      </c>
      <c r="P55" s="1">
        <v>-1071.779296875</v>
      </c>
      <c r="Q55" s="1">
        <v>-141.31976318359375</v>
      </c>
      <c r="R55" s="1">
        <v>190.94975280761719</v>
      </c>
    </row>
    <row r="56" spans="1:18">
      <c r="A56" s="1">
        <v>-427.7237548828125</v>
      </c>
      <c r="B56" s="1">
        <v>184.80865478515625</v>
      </c>
      <c r="C56" s="1">
        <v>-351.22439575195313</v>
      </c>
      <c r="F56" s="1">
        <v>-79.522880554199219</v>
      </c>
      <c r="G56" s="1">
        <v>-131.95137023925781</v>
      </c>
      <c r="H56" s="1">
        <v>-495.85693359375</v>
      </c>
      <c r="K56" s="1">
        <v>522.50250244140625</v>
      </c>
      <c r="L56" s="1">
        <v>95.108444213867188</v>
      </c>
      <c r="M56" s="1">
        <v>-178.73323059082031</v>
      </c>
      <c r="P56" s="1">
        <v>-1190.3399658203125</v>
      </c>
      <c r="Q56" s="1">
        <v>-208.80270385742188</v>
      </c>
      <c r="R56" s="1">
        <v>156.95620727539063</v>
      </c>
    </row>
    <row r="57" spans="1:18">
      <c r="A57" s="1">
        <v>-74.492866516113281</v>
      </c>
      <c r="B57" s="1">
        <v>161.21705627441406</v>
      </c>
      <c r="C57" s="1">
        <v>-377.6097412109375</v>
      </c>
      <c r="F57" s="1">
        <v>70.903793334960938</v>
      </c>
      <c r="G57" s="1">
        <v>-443.13705444335938</v>
      </c>
      <c r="H57" s="1">
        <v>-1201.3980712890625</v>
      </c>
      <c r="K57" s="1">
        <v>722.84649658203125</v>
      </c>
      <c r="L57" s="1">
        <v>-257.19509887695313</v>
      </c>
      <c r="M57" s="1">
        <v>222.17013549804688</v>
      </c>
      <c r="P57" s="1">
        <v>-759.642822265625</v>
      </c>
      <c r="Q57" s="1">
        <v>-196.99659729003906</v>
      </c>
      <c r="R57" s="1">
        <v>13.923602104187012</v>
      </c>
    </row>
    <row r="58" spans="1:18">
      <c r="A58" s="1">
        <v>298.073974609375</v>
      </c>
      <c r="B58" s="1">
        <v>223.62547302246094</v>
      </c>
      <c r="C58" s="1">
        <v>-243.60443115234375</v>
      </c>
      <c r="F58" s="1">
        <v>193.66641235351563</v>
      </c>
      <c r="G58" s="1">
        <v>-514.79144287109375</v>
      </c>
      <c r="H58" s="1">
        <v>-1025.0252685546875</v>
      </c>
      <c r="K58" s="1">
        <v>121.67483520507813</v>
      </c>
      <c r="L58" s="1">
        <v>-340.76815795898438</v>
      </c>
      <c r="M58" s="1">
        <v>230.737548828125</v>
      </c>
      <c r="P58" s="1">
        <v>43.023021697998047</v>
      </c>
      <c r="Q58" s="1">
        <v>-97.885795593261719</v>
      </c>
      <c r="R58" s="1">
        <v>-175.7730712890625</v>
      </c>
    </row>
    <row r="59" spans="1:18">
      <c r="A59" s="1">
        <v>550.21893310546875</v>
      </c>
      <c r="B59" s="1">
        <v>-160.51300048828125</v>
      </c>
      <c r="C59" s="1">
        <v>-41.153827667236328</v>
      </c>
      <c r="F59" s="1">
        <v>489.85870361328125</v>
      </c>
      <c r="G59" s="1">
        <v>-259.04745483398438</v>
      </c>
      <c r="H59" s="1">
        <v>201.30862426757813</v>
      </c>
      <c r="K59" s="1">
        <v>-182.35227966308594</v>
      </c>
      <c r="L59" s="1">
        <v>253.58454895019531</v>
      </c>
      <c r="M59" s="1">
        <v>300.37136840820313</v>
      </c>
      <c r="P59" s="1">
        <v>67.720130920410156</v>
      </c>
      <c r="Q59" s="1">
        <v>-74.509361267089844</v>
      </c>
      <c r="R59" s="1">
        <v>-471.0087890625</v>
      </c>
    </row>
    <row r="60" spans="1:18">
      <c r="A60" s="1">
        <v>393.9576416015625</v>
      </c>
      <c r="B60" s="1">
        <v>-245.03427124023438</v>
      </c>
      <c r="C60" s="1">
        <v>391.25772094726563</v>
      </c>
      <c r="F60" s="1">
        <v>459.66818237304688</v>
      </c>
      <c r="G60" s="1">
        <v>358.54034423828125</v>
      </c>
      <c r="H60" s="1">
        <v>615.4080810546875</v>
      </c>
      <c r="K60" s="1">
        <v>-27.832504272460938</v>
      </c>
      <c r="L60" s="1">
        <v>130.890380859375</v>
      </c>
      <c r="M60" s="1">
        <v>234.45442199707031</v>
      </c>
      <c r="P60" s="1">
        <v>466.292236328125</v>
      </c>
      <c r="Q60" s="1">
        <v>-89.5626220703125</v>
      </c>
      <c r="R60" s="1">
        <v>-616.3460693359375</v>
      </c>
    </row>
    <row r="61" spans="1:18">
      <c r="A61" s="1">
        <v>-31.217716217041016</v>
      </c>
      <c r="B61" s="1">
        <v>-181.01649475097656</v>
      </c>
      <c r="C61" s="1">
        <v>578.38800048828125</v>
      </c>
      <c r="F61" s="1">
        <v>-388.95980834960938</v>
      </c>
      <c r="G61" s="1">
        <v>385.58905029296875</v>
      </c>
      <c r="H61" s="1">
        <v>655.63250732421875</v>
      </c>
      <c r="K61" s="1">
        <v>-38.070549011230469</v>
      </c>
      <c r="L61" s="1">
        <v>-32.424880981445313</v>
      </c>
      <c r="M61" s="1">
        <v>434.6116943359375</v>
      </c>
      <c r="P61" s="1">
        <v>672.5518798828125</v>
      </c>
      <c r="Q61" s="1">
        <v>318.29818725585938</v>
      </c>
      <c r="R61" s="1">
        <v>-597.86309814453125</v>
      </c>
    </row>
    <row r="62" spans="1:18">
      <c r="A62" s="1">
        <v>-23.408695220947266</v>
      </c>
      <c r="B62" s="1">
        <v>-139.54559326171875</v>
      </c>
      <c r="C62" s="1">
        <v>744.455810546875</v>
      </c>
      <c r="F62" s="1">
        <v>-309.78314208984375</v>
      </c>
      <c r="G62" s="1">
        <v>138.41117858886719</v>
      </c>
      <c r="H62" s="1">
        <v>805.19293212890625</v>
      </c>
      <c r="K62" s="1">
        <v>422.11328125</v>
      </c>
      <c r="L62" s="1">
        <v>205.89266967773438</v>
      </c>
      <c r="M62" s="1">
        <v>743.87445068359375</v>
      </c>
      <c r="P62" s="1">
        <v>189.49114990234375</v>
      </c>
      <c r="Q62" s="1">
        <v>280.84649658203125</v>
      </c>
      <c r="R62" s="1">
        <v>-618.89569091796875</v>
      </c>
    </row>
    <row r="63" spans="1:18">
      <c r="A63" s="1">
        <v>163.42376708984375</v>
      </c>
      <c r="B63" s="1">
        <v>-152.59030151367188</v>
      </c>
      <c r="C63" s="1">
        <v>547.76580810546875</v>
      </c>
      <c r="F63" s="1">
        <v>442.65133666992188</v>
      </c>
      <c r="G63" s="1">
        <v>110.34270477294922</v>
      </c>
      <c r="H63" s="1">
        <v>673.5579833984375</v>
      </c>
      <c r="K63" s="1">
        <v>420.410400390625</v>
      </c>
      <c r="L63" s="1">
        <v>219.09693908691406</v>
      </c>
      <c r="M63" s="1">
        <v>480.69964599609375</v>
      </c>
      <c r="P63" s="1">
        <v>-272.47579956054688</v>
      </c>
      <c r="Q63" s="1">
        <v>234.47291564941406</v>
      </c>
      <c r="R63" s="1">
        <v>-524.92828369140625</v>
      </c>
    </row>
    <row r="64" spans="1:18">
      <c r="A64" s="1">
        <v>242.8109130859375</v>
      </c>
      <c r="B64" s="1">
        <v>-304.97879028320313</v>
      </c>
      <c r="C64" s="1">
        <v>635.3804931640625</v>
      </c>
      <c r="F64" s="1">
        <v>818.8123779296875</v>
      </c>
      <c r="G64" s="1">
        <v>409.93829345703125</v>
      </c>
      <c r="H64" s="1">
        <v>693.477783203125</v>
      </c>
      <c r="K64" s="1">
        <v>608.77001953125</v>
      </c>
      <c r="L64" s="1">
        <v>26.805122375488281</v>
      </c>
      <c r="M64" s="1">
        <v>467.96630859375</v>
      </c>
      <c r="P64" s="1">
        <v>-233.2083740234375</v>
      </c>
      <c r="Q64" s="1">
        <v>239.98214721679688</v>
      </c>
      <c r="R64" s="1">
        <v>199.12504577636719</v>
      </c>
    </row>
    <row r="65" spans="1:18">
      <c r="A65" s="1">
        <v>301.03399658203125</v>
      </c>
      <c r="B65" s="1">
        <v>-344.41412353515625</v>
      </c>
      <c r="C65" s="1">
        <v>1137.0966796875</v>
      </c>
      <c r="F65" s="1">
        <v>879.57501220703125</v>
      </c>
      <c r="G65" s="1">
        <v>387.52606201171875</v>
      </c>
      <c r="H65" s="1">
        <v>1126.5382080078125</v>
      </c>
      <c r="K65" s="1">
        <v>139.89134216308594</v>
      </c>
      <c r="L65" s="1">
        <v>281.8609619140625</v>
      </c>
      <c r="M65" s="1">
        <v>1202.80322265625</v>
      </c>
      <c r="P65" s="1">
        <v>656.69964599609375</v>
      </c>
      <c r="Q65" s="1">
        <v>861.67108154296875</v>
      </c>
      <c r="R65" s="1">
        <v>580.9205322265625</v>
      </c>
    </row>
    <row r="66" spans="1:18">
      <c r="A66" s="1">
        <v>495.421142578125</v>
      </c>
      <c r="B66" s="1">
        <v>-44.294773101806641</v>
      </c>
      <c r="C66" s="1">
        <v>1771.84423828125</v>
      </c>
      <c r="F66" s="1">
        <v>959.20477294921875</v>
      </c>
      <c r="G66" s="1">
        <v>338.38726806640625</v>
      </c>
      <c r="H66" s="1">
        <v>1430.0828857421875</v>
      </c>
      <c r="K66" s="1">
        <v>56.329071044921875</v>
      </c>
      <c r="L66" s="1">
        <v>423.11209106445313</v>
      </c>
      <c r="M66" s="1">
        <v>946.92144775390625</v>
      </c>
      <c r="P66" s="1">
        <v>1503.060791015625</v>
      </c>
      <c r="Q66" s="1">
        <v>1456.0552978515625</v>
      </c>
      <c r="R66" s="1">
        <v>1936.052001953125</v>
      </c>
    </row>
    <row r="67" spans="1:18">
      <c r="A67" s="1">
        <v>892.98016357421875</v>
      </c>
      <c r="B67" s="1">
        <v>903.3948974609375</v>
      </c>
      <c r="C67" s="1">
        <v>2137.185302734375</v>
      </c>
      <c r="F67" s="1">
        <v>1009.8970947265625</v>
      </c>
      <c r="G67" s="1">
        <v>479.42034912109375</v>
      </c>
      <c r="H67" s="1">
        <v>1511.729248046875</v>
      </c>
      <c r="K67" s="1">
        <v>1002.4464721679688</v>
      </c>
      <c r="L67" s="1">
        <v>-96.777374267578125</v>
      </c>
      <c r="M67" s="1">
        <v>235.16856384277344</v>
      </c>
      <c r="P67" s="1">
        <v>3873.523681640625</v>
      </c>
      <c r="Q67" s="1">
        <v>3225.892578125</v>
      </c>
      <c r="R67" s="1">
        <v>2993.988037109375</v>
      </c>
    </row>
    <row r="68" spans="1:18">
      <c r="A68" s="1">
        <v>1376.7579345703125</v>
      </c>
      <c r="B68" s="1">
        <v>1200.1392822265625</v>
      </c>
      <c r="C68" s="1">
        <v>2642.917236328125</v>
      </c>
      <c r="F68" s="1">
        <v>1236.78466796875</v>
      </c>
      <c r="G68" s="1">
        <v>479.42218017578125</v>
      </c>
      <c r="H68" s="1">
        <v>1895.3834228515625</v>
      </c>
      <c r="K68" s="1">
        <v>824.60296630859375</v>
      </c>
      <c r="L68" s="1">
        <v>-487.51058959960938</v>
      </c>
      <c r="M68" s="1">
        <v>122.11097717285156</v>
      </c>
      <c r="P68" s="1">
        <v>10014.923828125</v>
      </c>
      <c r="Q68" s="1">
        <v>4745.40185546875</v>
      </c>
      <c r="R68" s="1">
        <v>6190.82275390625</v>
      </c>
    </row>
    <row r="69" spans="1:18">
      <c r="A69" s="1">
        <v>3102.41064453125</v>
      </c>
      <c r="B69" s="1">
        <v>1572.711669921875</v>
      </c>
      <c r="C69" s="1">
        <v>3334.313232421875</v>
      </c>
      <c r="F69" s="1">
        <v>1788.81298828125</v>
      </c>
      <c r="G69" s="1">
        <v>552.97869873046875</v>
      </c>
      <c r="H69" s="1">
        <v>2523.02978515625</v>
      </c>
      <c r="K69" s="1">
        <v>443.75555419921875</v>
      </c>
      <c r="L69" s="1">
        <v>-441.51727294921875</v>
      </c>
      <c r="M69" s="1">
        <v>856.09637451171875</v>
      </c>
      <c r="P69" s="1">
        <v>17799.35546875</v>
      </c>
      <c r="Q69" s="1">
        <v>8666.2392578125</v>
      </c>
      <c r="R69" s="1">
        <v>13415.8525390625</v>
      </c>
    </row>
    <row r="70" spans="1:18">
      <c r="A70" s="1">
        <v>5340.4619140625</v>
      </c>
      <c r="B70" s="1">
        <v>2324.5185546875</v>
      </c>
      <c r="C70" s="1">
        <v>6086.896484375</v>
      </c>
      <c r="F70" s="1">
        <v>2078.184814453125</v>
      </c>
      <c r="G70" s="1">
        <v>878.09771728515625</v>
      </c>
      <c r="H70" s="1">
        <v>4154.75439453125</v>
      </c>
      <c r="K70" s="1">
        <v>404.91204833984375</v>
      </c>
      <c r="L70" s="1">
        <v>45.687004089355469</v>
      </c>
      <c r="M70" s="1">
        <v>1217.081787109375</v>
      </c>
      <c r="P70" s="1">
        <v>29886.833984375</v>
      </c>
      <c r="Q70" s="1">
        <v>19322.740234375</v>
      </c>
      <c r="R70" s="1">
        <v>26232.5234375</v>
      </c>
    </row>
    <row r="71" spans="1:18">
      <c r="A71" s="1">
        <v>8976.5283203125</v>
      </c>
      <c r="B71" s="1">
        <v>3595.427001953125</v>
      </c>
      <c r="C71" s="1">
        <v>10257.86328125</v>
      </c>
      <c r="F71" s="1">
        <v>2518.806884765625</v>
      </c>
      <c r="G71" s="1">
        <v>1265.287109375</v>
      </c>
      <c r="H71" s="1">
        <v>7831.400390625</v>
      </c>
      <c r="K71" s="1">
        <v>969.35760498046875</v>
      </c>
      <c r="L71" s="1">
        <v>119.53580474853516</v>
      </c>
      <c r="M71" s="1">
        <v>1081.063232421875</v>
      </c>
      <c r="P71" s="1">
        <v>52990.8203125</v>
      </c>
      <c r="Q71" s="1">
        <v>36673.609375</v>
      </c>
      <c r="R71" s="1">
        <v>48798.4140625</v>
      </c>
    </row>
    <row r="72" spans="1:18">
      <c r="A72" s="1">
        <v>16004.095703125</v>
      </c>
      <c r="B72" s="1">
        <v>6076.81982421875</v>
      </c>
      <c r="C72" s="1">
        <v>18357.3671875</v>
      </c>
      <c r="F72" s="1">
        <v>3255.139892578125</v>
      </c>
      <c r="G72" s="1">
        <v>2740.406005859375</v>
      </c>
      <c r="H72" s="1">
        <v>13564.03125</v>
      </c>
      <c r="K72" s="1">
        <v>1100.0921630859375</v>
      </c>
      <c r="L72" s="1">
        <v>143.19711303710938</v>
      </c>
      <c r="M72" s="1">
        <v>880.12286376953125</v>
      </c>
      <c r="P72" s="1">
        <v>96067.1953125</v>
      </c>
      <c r="Q72" s="1">
        <v>67259.5234375</v>
      </c>
      <c r="R72" s="1">
        <v>87581.7109375</v>
      </c>
    </row>
    <row r="73" spans="1:18">
      <c r="A73" s="1">
        <v>25455.435546875</v>
      </c>
      <c r="B73" s="1">
        <v>9658.658203125</v>
      </c>
      <c r="C73" s="1">
        <v>29174.646484375</v>
      </c>
      <c r="F73" s="1">
        <v>5093.13671875</v>
      </c>
      <c r="G73" s="1">
        <v>4970.53271484375</v>
      </c>
      <c r="H73" s="1">
        <v>21236.474609375</v>
      </c>
      <c r="K73" s="1">
        <v>1042.6510009765625</v>
      </c>
      <c r="L73" s="1">
        <v>44.764663696289063</v>
      </c>
      <c r="M73" s="1">
        <v>871.78399658203125</v>
      </c>
      <c r="P73" s="1">
        <v>150939.140625</v>
      </c>
      <c r="Q73" s="1">
        <v>105484.859375</v>
      </c>
      <c r="R73" s="1">
        <v>135831.4375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topLeftCell="A19" workbookViewId="0">
      <selection activeCell="R2" sqref="R2:R36"/>
    </sheetView>
  </sheetViews>
  <sheetFormatPr defaultRowHeight="15"/>
  <cols>
    <col min="20" max="20" width="9.85546875" bestFit="1" customWidth="1"/>
    <col min="22" max="22" width="9.85546875" bestFit="1" customWidth="1"/>
  </cols>
  <sheetData>
    <row r="1" spans="1:26">
      <c r="A1" s="1">
        <v>-876.01580810546875</v>
      </c>
      <c r="B1" s="1">
        <v>-1522.2127685546875</v>
      </c>
      <c r="C1" s="1">
        <v>147.47990417480469</v>
      </c>
      <c r="E1" s="1">
        <v>-2980.68701171875</v>
      </c>
      <c r="F1" s="1">
        <v>-5533.36474609375</v>
      </c>
      <c r="G1" s="1">
        <v>-1961.6849365234375</v>
      </c>
      <c r="I1" s="1">
        <v>-2161.697509765625</v>
      </c>
      <c r="J1" s="1">
        <v>360.83029174804688</v>
      </c>
      <c r="K1" s="1">
        <v>290.89886474609375</v>
      </c>
      <c r="M1" s="1">
        <v>-1967.9876708984375</v>
      </c>
      <c r="N1" s="1">
        <v>-2526.901611328125</v>
      </c>
      <c r="O1" s="1">
        <v>-1898.677490234375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</row>
    <row r="2" spans="1:26">
      <c r="A2" s="1">
        <v>-870.33245849609375</v>
      </c>
      <c r="B2" s="1">
        <v>-852.97320556640625</v>
      </c>
      <c r="C2" s="1">
        <v>429.65988159179688</v>
      </c>
      <c r="E2" s="1">
        <v>-1960.2623291015625</v>
      </c>
      <c r="F2" s="1">
        <v>-4575.9384765625</v>
      </c>
      <c r="G2" s="1">
        <v>-478.04019165039063</v>
      </c>
      <c r="I2" s="1">
        <v>-1879.5709228515625</v>
      </c>
      <c r="J2" s="1">
        <v>493.2236328125</v>
      </c>
      <c r="K2" s="1">
        <v>-85.162559509277344</v>
      </c>
      <c r="M2" s="1">
        <v>-1709.7315673828125</v>
      </c>
      <c r="N2" s="1">
        <v>-1628.0562744140625</v>
      </c>
      <c r="O2" s="1">
        <v>-938.63616943359375</v>
      </c>
      <c r="R2" s="3">
        <v>1</v>
      </c>
      <c r="S2" s="1">
        <f>AVERAGE(A1:C1)</f>
        <v>-750.24955749511719</v>
      </c>
      <c r="T2" s="1">
        <f>AVERAGE(E1:G1)</f>
        <v>-3491.9122314453125</v>
      </c>
      <c r="U2" s="1">
        <f>AVERAGE(I1:K1)</f>
        <v>-503.32278442382813</v>
      </c>
      <c r="V2" s="1">
        <f>AVERAGE(M1:O1)</f>
        <v>-2131.188924153646</v>
      </c>
      <c r="W2" s="1">
        <f>AVERAGE(A38:C38)</f>
        <v>629.3775634765625</v>
      </c>
      <c r="X2" s="1">
        <f>AVERAGE(E38:G38)</f>
        <v>4680.9385986328125</v>
      </c>
      <c r="Y2" s="1">
        <f>AVERAGE(I38:K38)</f>
        <v>861.04642931620276</v>
      </c>
      <c r="Z2" s="1">
        <f>AVERAGE(M38:O38)</f>
        <v>-913.75214131673181</v>
      </c>
    </row>
    <row r="3" spans="1:26">
      <c r="A3" s="1">
        <v>-496.16867065429688</v>
      </c>
      <c r="B3" s="1">
        <v>-93.577430725097656</v>
      </c>
      <c r="C3" s="1">
        <v>353.24609375</v>
      </c>
      <c r="E3" s="1">
        <v>-1101.0015869140625</v>
      </c>
      <c r="F3" s="1">
        <v>-2654.691650390625</v>
      </c>
      <c r="G3" s="1">
        <v>108.16712951660156</v>
      </c>
      <c r="I3" s="1">
        <v>-798.50482177734375</v>
      </c>
      <c r="J3" s="1">
        <v>536.58184814453125</v>
      </c>
      <c r="K3" s="1">
        <v>-357.3060302734375</v>
      </c>
      <c r="M3" s="1">
        <v>-435.77230834960938</v>
      </c>
      <c r="N3" s="1">
        <v>-299.8125</v>
      </c>
      <c r="O3" s="1">
        <v>-350.95425415039063</v>
      </c>
      <c r="R3" s="3">
        <v>2</v>
      </c>
      <c r="S3" s="1">
        <f>AVERAGE(A2:C2)</f>
        <v>-431.21526082356769</v>
      </c>
      <c r="T3" s="1">
        <f>AVERAGE(E2:G2)</f>
        <v>-2338.0803324381509</v>
      </c>
      <c r="U3" s="1">
        <f>AVERAGE(I2:K2)</f>
        <v>-490.50328318277997</v>
      </c>
      <c r="V3" s="1">
        <f>AVERAGE(M2:O2)</f>
        <v>-1425.4746704101563</v>
      </c>
      <c r="W3" s="1">
        <f>AVERAGE(A39:C39)</f>
        <v>711.26031494140625</v>
      </c>
      <c r="X3" s="1">
        <f>AVERAGE(E39:G39)</f>
        <v>2950.4576822916665</v>
      </c>
      <c r="Y3" s="1">
        <f>AVERAGE(I39:K39)</f>
        <v>630.11146545410156</v>
      </c>
      <c r="Z3" s="1">
        <f>AVERAGE(M39:O39)</f>
        <v>-639.19482421875</v>
      </c>
    </row>
    <row r="4" spans="1:26">
      <c r="A4" s="1">
        <v>-96.950172424316406</v>
      </c>
      <c r="B4" s="1">
        <v>211.716796875</v>
      </c>
      <c r="C4" s="1">
        <v>296.84793090820313</v>
      </c>
      <c r="E4" s="1">
        <v>-323.40875244140625</v>
      </c>
      <c r="F4" s="1">
        <v>108.75408172607422</v>
      </c>
      <c r="G4" s="1">
        <v>-27.781808853149414</v>
      </c>
      <c r="I4" s="1">
        <v>249.34642028808594</v>
      </c>
      <c r="J4" s="1">
        <v>778.04156494140625</v>
      </c>
      <c r="K4" s="1">
        <v>-368.72683715820313</v>
      </c>
      <c r="M4" s="1">
        <v>-68.441963195800781</v>
      </c>
      <c r="N4" s="1">
        <v>85.407814025878906</v>
      </c>
      <c r="O4" s="1">
        <v>41.602680206298828</v>
      </c>
      <c r="R4" s="3">
        <v>3</v>
      </c>
      <c r="S4" s="1">
        <f t="shared" ref="S4:S36" si="0">AVERAGE(A3:C3)</f>
        <v>-78.833335876464844</v>
      </c>
      <c r="T4" s="1">
        <f t="shared" ref="T4:T36" si="1">AVERAGE(E3:G3)</f>
        <v>-1215.8420359293621</v>
      </c>
      <c r="U4" s="1">
        <f t="shared" ref="U4:U36" si="2">AVERAGE(I3:K3)</f>
        <v>-206.40966796875</v>
      </c>
      <c r="V4" s="1">
        <f t="shared" ref="V4:V36" si="3">AVERAGE(M3:O3)</f>
        <v>-362.1796875</v>
      </c>
      <c r="W4" s="1">
        <f t="shared" ref="W4:W36" si="4">AVERAGE(A40:C40)</f>
        <v>55.132659912109375</v>
      </c>
      <c r="X4" s="1">
        <f t="shared" ref="X4:X36" si="5">AVERAGE(E40:G40)</f>
        <v>2207.1071166992188</v>
      </c>
      <c r="Y4" s="1">
        <f t="shared" ref="Y4:Y36" si="6">AVERAGE(I40:K40)</f>
        <v>44.478566487630211</v>
      </c>
      <c r="Z4" s="1">
        <f t="shared" ref="Z4:Z36" si="7">AVERAGE(M40:O40)</f>
        <v>-525.21303304036462</v>
      </c>
    </row>
    <row r="5" spans="1:26">
      <c r="A5" s="1">
        <v>221.502685546875</v>
      </c>
      <c r="B5" s="1">
        <v>-118.47725677490234</v>
      </c>
      <c r="C5" s="1">
        <v>-252.45646667480469</v>
      </c>
      <c r="E5" s="1">
        <v>659.53948974609375</v>
      </c>
      <c r="F5" s="1">
        <v>1229.121826171875</v>
      </c>
      <c r="G5" s="1">
        <v>-96.996376037597656</v>
      </c>
      <c r="I5" s="1">
        <v>309.74844360351563</v>
      </c>
      <c r="J5" s="1">
        <v>589.55987548828125</v>
      </c>
      <c r="K5" s="1">
        <v>109.25079345703125</v>
      </c>
      <c r="M5" s="1">
        <v>41.841518402099609</v>
      </c>
      <c r="N5" s="1">
        <v>97.003128051757813</v>
      </c>
      <c r="O5" s="1">
        <v>326.94085693359375</v>
      </c>
      <c r="R5" s="3">
        <v>4</v>
      </c>
      <c r="S5" s="1">
        <f t="shared" si="0"/>
        <v>137.20485178629556</v>
      </c>
      <c r="T5" s="1">
        <f t="shared" si="1"/>
        <v>-80.812159856160477</v>
      </c>
      <c r="U5" s="1">
        <f t="shared" si="2"/>
        <v>219.55371602376303</v>
      </c>
      <c r="V5" s="1">
        <f t="shared" si="3"/>
        <v>19.522843678792317</v>
      </c>
      <c r="W5" s="1">
        <f t="shared" si="4"/>
        <v>-157.07570902506509</v>
      </c>
      <c r="X5" s="1">
        <f t="shared" si="5"/>
        <v>2796.1498006184897</v>
      </c>
      <c r="Y5" s="1">
        <f t="shared" si="6"/>
        <v>-67.745466868082687</v>
      </c>
      <c r="Z5" s="1">
        <f t="shared" si="7"/>
        <v>-345.88230387369794</v>
      </c>
    </row>
    <row r="6" spans="1:26">
      <c r="A6" s="1">
        <v>453.28369140625</v>
      </c>
      <c r="B6" s="1">
        <v>-175.26115417480469</v>
      </c>
      <c r="C6" s="1">
        <v>-303.57339477539063</v>
      </c>
      <c r="E6" s="1">
        <v>916.63226318359375</v>
      </c>
      <c r="F6" s="1">
        <v>2272.411376953125</v>
      </c>
      <c r="G6" s="1">
        <v>-45.25</v>
      </c>
      <c r="I6" s="1">
        <v>192.16413879394531</v>
      </c>
      <c r="J6" s="1">
        <v>-283.2733154296875</v>
      </c>
      <c r="K6" s="1">
        <v>331.46670532226563</v>
      </c>
      <c r="M6" s="1">
        <v>287.8046875</v>
      </c>
      <c r="N6" s="1">
        <v>255.28593444824219</v>
      </c>
      <c r="O6" s="1">
        <v>186.47433471679688</v>
      </c>
      <c r="R6" s="3">
        <v>5</v>
      </c>
      <c r="S6" s="1">
        <f t="shared" si="0"/>
        <v>-49.810345967610679</v>
      </c>
      <c r="T6" s="1">
        <f t="shared" si="1"/>
        <v>597.2216466267904</v>
      </c>
      <c r="U6" s="1">
        <f t="shared" si="2"/>
        <v>336.18637084960938</v>
      </c>
      <c r="V6" s="1">
        <f t="shared" si="3"/>
        <v>155.26183446248373</v>
      </c>
      <c r="W6" s="1">
        <f t="shared" si="4"/>
        <v>53.654703776041664</v>
      </c>
      <c r="X6" s="1">
        <f t="shared" si="5"/>
        <v>1305.7809346516926</v>
      </c>
      <c r="Y6" s="1">
        <f t="shared" si="6"/>
        <v>139.41332022349039</v>
      </c>
      <c r="Z6" s="1">
        <f t="shared" si="7"/>
        <v>177.05260213216147</v>
      </c>
    </row>
    <row r="7" spans="1:26">
      <c r="A7" s="1">
        <v>296.54122924804688</v>
      </c>
      <c r="B7" s="1">
        <v>179.26353454589844</v>
      </c>
      <c r="C7" s="1">
        <v>-508.46371459960938</v>
      </c>
      <c r="E7" s="1">
        <v>1182.0570068359375</v>
      </c>
      <c r="F7" s="1">
        <v>1083.849365234375</v>
      </c>
      <c r="G7" s="1">
        <v>-40.081752777099609</v>
      </c>
      <c r="I7" s="1">
        <v>149.544677734375</v>
      </c>
      <c r="J7" s="1">
        <v>-439.76473999023438</v>
      </c>
      <c r="K7" s="1">
        <v>217.34275817871094</v>
      </c>
      <c r="M7" s="1">
        <v>921.65069580078125</v>
      </c>
      <c r="N7" s="1">
        <v>355.85000610351563</v>
      </c>
      <c r="O7" s="1">
        <v>41.1953125</v>
      </c>
      <c r="R7" s="3">
        <v>6</v>
      </c>
      <c r="S7" s="1">
        <f t="shared" si="0"/>
        <v>-8.5169525146484375</v>
      </c>
      <c r="T7" s="1">
        <f t="shared" si="1"/>
        <v>1047.9312133789063</v>
      </c>
      <c r="U7" s="1">
        <f t="shared" si="2"/>
        <v>80.119176228841141</v>
      </c>
      <c r="V7" s="1">
        <f t="shared" si="3"/>
        <v>243.18831888834634</v>
      </c>
      <c r="W7" s="1">
        <f t="shared" si="4"/>
        <v>188.52314631144205</v>
      </c>
      <c r="X7" s="1">
        <f t="shared" si="5"/>
        <v>110.39126078287761</v>
      </c>
      <c r="Y7" s="1">
        <f t="shared" si="6"/>
        <v>46.682777404785156</v>
      </c>
      <c r="Z7" s="1">
        <f t="shared" si="7"/>
        <v>217.2869873046875</v>
      </c>
    </row>
    <row r="8" spans="1:26">
      <c r="A8" s="1">
        <v>15.810503005981445</v>
      </c>
      <c r="B8" s="1">
        <v>144.04603576660156</v>
      </c>
      <c r="C8" s="1">
        <v>-245.59626770019531</v>
      </c>
      <c r="E8" s="1">
        <v>470.88421630859375</v>
      </c>
      <c r="F8" s="1">
        <v>18.201475143432617</v>
      </c>
      <c r="G8" s="1">
        <v>93.805244445800781</v>
      </c>
      <c r="I8" s="1">
        <v>21.690834045410156</v>
      </c>
      <c r="J8" s="1">
        <v>-219.16047668457031</v>
      </c>
      <c r="K8" s="1">
        <v>51.285232543945313</v>
      </c>
      <c r="M8" s="1">
        <v>82.762275695800781</v>
      </c>
      <c r="N8" s="1">
        <v>-493.734375</v>
      </c>
      <c r="O8" s="1">
        <v>-51.864955902099609</v>
      </c>
      <c r="R8" s="3">
        <v>7</v>
      </c>
      <c r="S8" s="1">
        <f t="shared" si="0"/>
        <v>-10.886316935221354</v>
      </c>
      <c r="T8" s="1">
        <f t="shared" si="1"/>
        <v>741.9415397644043</v>
      </c>
      <c r="U8" s="1">
        <f t="shared" si="2"/>
        <v>-24.292434692382813</v>
      </c>
      <c r="V8" s="1">
        <f t="shared" si="3"/>
        <v>439.56533813476563</v>
      </c>
      <c r="W8" s="1">
        <f t="shared" si="4"/>
        <v>46.839492797851563</v>
      </c>
      <c r="X8" s="1">
        <f t="shared" si="5"/>
        <v>-386.58693440755206</v>
      </c>
      <c r="Y8" s="1">
        <f t="shared" si="6"/>
        <v>-142.17536163330078</v>
      </c>
      <c r="Z8" s="1">
        <f t="shared" si="7"/>
        <v>-239.52030944824219</v>
      </c>
    </row>
    <row r="9" spans="1:26">
      <c r="A9" s="1">
        <v>-73.89288330078125</v>
      </c>
      <c r="B9" s="1">
        <v>-147.71052551269531</v>
      </c>
      <c r="C9" s="1">
        <v>239.34933471679688</v>
      </c>
      <c r="E9" s="1">
        <v>-1804.7027587890625</v>
      </c>
      <c r="F9" s="1">
        <v>-889.3018798828125</v>
      </c>
      <c r="G9" s="1">
        <v>8.1375560760498047</v>
      </c>
      <c r="I9" s="1">
        <v>-15.899333953857422</v>
      </c>
      <c r="J9" s="1">
        <v>-559.40386962890625</v>
      </c>
      <c r="K9" s="1">
        <v>-15.948077201843262</v>
      </c>
      <c r="M9" s="1">
        <v>-829.8448486328125</v>
      </c>
      <c r="N9" s="1">
        <v>-693.6156005859375</v>
      </c>
      <c r="O9" s="1">
        <v>-193.39396667480469</v>
      </c>
      <c r="R9" s="3">
        <v>8</v>
      </c>
      <c r="S9" s="1">
        <f t="shared" si="0"/>
        <v>-28.579909642537434</v>
      </c>
      <c r="T9" s="1">
        <f t="shared" si="1"/>
        <v>194.29697863260904</v>
      </c>
      <c r="U9" s="1">
        <f t="shared" si="2"/>
        <v>-48.728136698404946</v>
      </c>
      <c r="V9" s="1">
        <f t="shared" si="3"/>
        <v>-154.27901840209961</v>
      </c>
      <c r="W9" s="1">
        <f t="shared" si="4"/>
        <v>-40.596745808919273</v>
      </c>
      <c r="X9" s="1">
        <f t="shared" si="5"/>
        <v>-400.61979166666669</v>
      </c>
      <c r="Y9" s="1">
        <f t="shared" si="6"/>
        <v>-99.106424967447921</v>
      </c>
      <c r="Z9" s="1">
        <f t="shared" si="7"/>
        <v>-452.03849792480469</v>
      </c>
    </row>
    <row r="10" spans="1:26">
      <c r="A10" s="1">
        <v>-33.244705200195313</v>
      </c>
      <c r="B10" s="1">
        <v>-61.213169097900391</v>
      </c>
      <c r="C10" s="1">
        <v>420.646484375</v>
      </c>
      <c r="E10" s="1">
        <v>-1866.5631103515625</v>
      </c>
      <c r="F10" s="1">
        <v>-871.9302978515625</v>
      </c>
      <c r="G10" s="1">
        <v>-48.053569793701172</v>
      </c>
      <c r="I10" s="1">
        <v>379.655029296875</v>
      </c>
      <c r="J10" s="1">
        <v>-636.436279296875</v>
      </c>
      <c r="K10" s="1">
        <v>-103.97045135498047</v>
      </c>
      <c r="M10" s="1">
        <v>-806.6082763671875</v>
      </c>
      <c r="N10" s="1">
        <v>1770.846923828125</v>
      </c>
      <c r="O10" s="1">
        <v>167.73326110839844</v>
      </c>
      <c r="R10" s="3">
        <v>9</v>
      </c>
      <c r="S10" s="1">
        <f t="shared" si="0"/>
        <v>5.9153086344401045</v>
      </c>
      <c r="T10" s="1">
        <f t="shared" si="1"/>
        <v>-895.28902753194177</v>
      </c>
      <c r="U10" s="1">
        <f t="shared" si="2"/>
        <v>-197.08376026153564</v>
      </c>
      <c r="V10" s="1">
        <f t="shared" si="3"/>
        <v>-572.28480529785156</v>
      </c>
      <c r="W10" s="1">
        <f t="shared" si="4"/>
        <v>166.79121653238931</v>
      </c>
      <c r="X10" s="1">
        <f t="shared" si="5"/>
        <v>-405.6214599609375</v>
      </c>
      <c r="Y10" s="1">
        <f t="shared" si="6"/>
        <v>129.62526448567709</v>
      </c>
      <c r="Z10" s="1">
        <f t="shared" si="7"/>
        <v>-260.66089693705243</v>
      </c>
    </row>
    <row r="11" spans="1:26">
      <c r="A11" s="1">
        <v>-286.88168334960938</v>
      </c>
      <c r="B11" s="1">
        <v>790.1748046875</v>
      </c>
      <c r="C11" s="1">
        <v>875.70147705078125</v>
      </c>
      <c r="E11" s="1">
        <v>1494.7445068359375</v>
      </c>
      <c r="F11" s="1">
        <v>-296.41415405273438</v>
      </c>
      <c r="G11" s="1">
        <v>225.63810729980469</v>
      </c>
      <c r="I11" s="1">
        <v>348.76211547851563</v>
      </c>
      <c r="J11" s="1">
        <v>-506.65625</v>
      </c>
      <c r="K11" s="1">
        <v>271.14389038085938</v>
      </c>
      <c r="M11" s="1">
        <v>-94.699775695800781</v>
      </c>
      <c r="N11" s="1">
        <v>12195.0517578125</v>
      </c>
      <c r="O11" s="1">
        <v>333.45425415039063</v>
      </c>
      <c r="R11" s="3">
        <v>10</v>
      </c>
      <c r="S11" s="1">
        <f t="shared" si="0"/>
        <v>108.72953669230144</v>
      </c>
      <c r="T11" s="1">
        <f t="shared" si="1"/>
        <v>-928.84899266560876</v>
      </c>
      <c r="U11" s="1">
        <f t="shared" si="2"/>
        <v>-120.25056711832683</v>
      </c>
      <c r="V11" s="1">
        <f t="shared" si="3"/>
        <v>377.323969523112</v>
      </c>
      <c r="W11" s="1">
        <f t="shared" si="4"/>
        <v>223.35236612955728</v>
      </c>
      <c r="X11" s="1">
        <f t="shared" si="5"/>
        <v>-495.95640246073407</v>
      </c>
      <c r="Y11" s="1">
        <f t="shared" si="6"/>
        <v>430.07441711425781</v>
      </c>
      <c r="Z11" s="1">
        <f t="shared" si="7"/>
        <v>374.925053914388</v>
      </c>
    </row>
    <row r="12" spans="1:26">
      <c r="A12" s="1">
        <v>388.9617919921875</v>
      </c>
      <c r="B12" s="1">
        <v>1433.113525390625</v>
      </c>
      <c r="C12" s="1">
        <v>2098.07666015625</v>
      </c>
      <c r="E12" s="1">
        <v>5001.76318359375</v>
      </c>
      <c r="F12" s="1">
        <v>451.10198974609375</v>
      </c>
      <c r="G12" s="1">
        <v>1266.072021484375</v>
      </c>
      <c r="I12" s="1">
        <v>256.19931030273438</v>
      </c>
      <c r="J12" s="1">
        <v>-364.86642456054688</v>
      </c>
      <c r="K12" s="1">
        <v>193.30511474609375</v>
      </c>
      <c r="M12" s="1">
        <v>857.97430419921875</v>
      </c>
      <c r="N12" s="1">
        <v>16216.841796875</v>
      </c>
      <c r="O12" s="1">
        <v>632.12835693359375</v>
      </c>
      <c r="R12" s="3">
        <v>11</v>
      </c>
      <c r="S12" s="1">
        <f t="shared" si="0"/>
        <v>459.66486612955731</v>
      </c>
      <c r="T12" s="1">
        <f t="shared" si="1"/>
        <v>474.65615336100262</v>
      </c>
      <c r="U12" s="1">
        <f t="shared" si="2"/>
        <v>37.749918619791664</v>
      </c>
      <c r="V12" s="1">
        <f t="shared" si="3"/>
        <v>4144.6020787556963</v>
      </c>
      <c r="W12" s="1">
        <f t="shared" si="4"/>
        <v>232.16612243652344</v>
      </c>
      <c r="X12" s="1">
        <f t="shared" si="5"/>
        <v>-609.10128784179688</v>
      </c>
      <c r="Y12" s="1">
        <f t="shared" si="6"/>
        <v>445.61472702026367</v>
      </c>
      <c r="Z12" s="1">
        <f t="shared" si="7"/>
        <v>394.52140442530316</v>
      </c>
    </row>
    <row r="13" spans="1:26">
      <c r="A13" s="1">
        <v>2148.70751953125</v>
      </c>
      <c r="B13" s="1">
        <v>2614.08740234375</v>
      </c>
      <c r="C13" s="1">
        <v>4171.8193359375</v>
      </c>
      <c r="E13" s="1">
        <v>5866.07080078125</v>
      </c>
      <c r="F13" s="1">
        <v>2251.1923828125</v>
      </c>
      <c r="G13" s="1">
        <v>2763.919921875</v>
      </c>
      <c r="I13" s="1">
        <v>65.070075988769531</v>
      </c>
      <c r="J13" s="1">
        <v>71.995674133300781</v>
      </c>
      <c r="K13" s="1">
        <v>177.52493286132813</v>
      </c>
      <c r="M13" s="1">
        <v>2958.3671875</v>
      </c>
      <c r="N13" s="1">
        <v>17040.484375</v>
      </c>
      <c r="O13" s="1">
        <v>3150.044677734375</v>
      </c>
      <c r="R13" s="3">
        <v>12</v>
      </c>
      <c r="S13" s="1">
        <f t="shared" si="0"/>
        <v>1306.7173258463542</v>
      </c>
      <c r="T13" s="1">
        <f t="shared" si="1"/>
        <v>2239.6457316080728</v>
      </c>
      <c r="U13" s="1">
        <f t="shared" si="2"/>
        <v>28.212666829427082</v>
      </c>
      <c r="V13" s="1">
        <f t="shared" si="3"/>
        <v>5902.3148193359375</v>
      </c>
      <c r="W13" s="1">
        <f t="shared" si="4"/>
        <v>118.04627990722656</v>
      </c>
      <c r="X13" s="1">
        <f t="shared" si="5"/>
        <v>-719.07685343424475</v>
      </c>
      <c r="Y13" s="1">
        <f t="shared" si="6"/>
        <v>435.38155682881671</v>
      </c>
      <c r="Z13" s="1">
        <f t="shared" si="7"/>
        <v>527.95110066731775</v>
      </c>
    </row>
    <row r="14" spans="1:26">
      <c r="A14" s="1">
        <v>4971.82080078125</v>
      </c>
      <c r="B14" s="1">
        <v>5545.5654296875</v>
      </c>
      <c r="C14" s="1">
        <v>6614.2333984375</v>
      </c>
      <c r="E14" s="1">
        <v>8362.5263671875</v>
      </c>
      <c r="F14" s="1">
        <v>5294.24755859375</v>
      </c>
      <c r="G14" s="1">
        <v>5259.29150390625</v>
      </c>
      <c r="I14" s="1">
        <v>-1.9888408184051514</v>
      </c>
      <c r="J14" s="1">
        <v>-7.0914573669433594</v>
      </c>
      <c r="K14" s="1">
        <v>239.4166259765625</v>
      </c>
      <c r="M14" s="1">
        <v>5032.62744140625</v>
      </c>
      <c r="N14" s="1">
        <v>20033.408203125</v>
      </c>
      <c r="O14" s="1">
        <v>6715.3984375</v>
      </c>
      <c r="R14" s="3">
        <v>13</v>
      </c>
      <c r="S14" s="1">
        <f t="shared" si="0"/>
        <v>2978.2047526041665</v>
      </c>
      <c r="T14" s="1">
        <f t="shared" si="1"/>
        <v>3627.06103515625</v>
      </c>
      <c r="U14" s="1">
        <f t="shared" si="2"/>
        <v>104.86356099446614</v>
      </c>
      <c r="V14" s="1">
        <f t="shared" si="3"/>
        <v>7716.298746744792</v>
      </c>
      <c r="W14" s="1">
        <f t="shared" si="4"/>
        <v>27.072271664937336</v>
      </c>
      <c r="X14" s="1">
        <f t="shared" si="5"/>
        <v>-960.08370971679688</v>
      </c>
      <c r="Y14" s="1">
        <f t="shared" si="6"/>
        <v>804.83463033040368</v>
      </c>
      <c r="Z14" s="1">
        <f t="shared" si="7"/>
        <v>867.7349853515625</v>
      </c>
    </row>
    <row r="15" spans="1:26">
      <c r="A15" s="1">
        <v>11157.765625</v>
      </c>
      <c r="B15" s="1">
        <v>11631.328125</v>
      </c>
      <c r="C15" s="1">
        <v>12319.8349609375</v>
      </c>
      <c r="E15" s="1">
        <v>13415.642578125</v>
      </c>
      <c r="F15" s="1">
        <v>10835.357421875</v>
      </c>
      <c r="G15" s="1">
        <v>10132.4443359375</v>
      </c>
      <c r="I15" s="1">
        <v>234.78622436523438</v>
      </c>
      <c r="J15" s="1">
        <v>-21.077024459838867</v>
      </c>
      <c r="K15" s="1">
        <v>-217.98075866699219</v>
      </c>
      <c r="M15" s="1">
        <v>11255.2236328125</v>
      </c>
      <c r="N15" s="1">
        <v>26589.33984375</v>
      </c>
      <c r="O15" s="1">
        <v>14110.205078125</v>
      </c>
      <c r="R15" s="3">
        <v>14</v>
      </c>
      <c r="S15" s="1">
        <f t="shared" si="0"/>
        <v>5710.539876302083</v>
      </c>
      <c r="T15" s="1">
        <f t="shared" si="1"/>
        <v>6305.355143229167</v>
      </c>
      <c r="U15" s="1">
        <f t="shared" si="2"/>
        <v>76.778775930404663</v>
      </c>
      <c r="V15" s="1">
        <f t="shared" si="3"/>
        <v>10593.811360677084</v>
      </c>
      <c r="W15" s="1">
        <f t="shared" si="4"/>
        <v>-178.97335815429688</v>
      </c>
      <c r="X15" s="1">
        <f t="shared" si="5"/>
        <v>-752.10614013671875</v>
      </c>
      <c r="Y15" s="1">
        <f t="shared" si="6"/>
        <v>935.22780354817712</v>
      </c>
      <c r="Z15" s="1">
        <f t="shared" si="7"/>
        <v>643.42248026529944</v>
      </c>
    </row>
    <row r="16" spans="1:26">
      <c r="A16" s="1">
        <v>22484.4765625</v>
      </c>
      <c r="B16" s="1">
        <v>22061.498046875</v>
      </c>
      <c r="C16" s="1">
        <v>23753.09375</v>
      </c>
      <c r="E16" s="1">
        <v>24815.509765625</v>
      </c>
      <c r="F16" s="1">
        <v>21411.392578125</v>
      </c>
      <c r="G16" s="1">
        <v>20233.423828125</v>
      </c>
      <c r="I16" s="1">
        <v>-232.80979919433594</v>
      </c>
      <c r="J16" s="1">
        <v>204.13467407226563</v>
      </c>
      <c r="K16" s="1">
        <v>-526.80389404296875</v>
      </c>
      <c r="M16" s="1">
        <v>21575.498046875</v>
      </c>
      <c r="N16" s="1">
        <v>38650.32421875</v>
      </c>
      <c r="O16" s="1">
        <v>27868.16015625</v>
      </c>
      <c r="R16" s="3">
        <v>15</v>
      </c>
      <c r="S16" s="1">
        <f t="shared" si="0"/>
        <v>11702.976236979166</v>
      </c>
      <c r="T16" s="1">
        <f t="shared" si="1"/>
        <v>11461.148111979166</v>
      </c>
      <c r="U16" s="1">
        <f t="shared" si="2"/>
        <v>-1.4238529205322266</v>
      </c>
      <c r="V16" s="1">
        <f t="shared" si="3"/>
        <v>17318.256184895832</v>
      </c>
      <c r="W16" s="1">
        <f t="shared" si="4"/>
        <v>-527.28200658162439</v>
      </c>
      <c r="X16" s="1">
        <f t="shared" si="5"/>
        <v>-470.88385009765625</v>
      </c>
      <c r="Y16" s="1">
        <f t="shared" si="6"/>
        <v>879.08191426595056</v>
      </c>
      <c r="Z16" s="1">
        <f t="shared" si="7"/>
        <v>-73.765004475911454</v>
      </c>
    </row>
    <row r="17" spans="1:26">
      <c r="A17" s="1">
        <v>42925.7265625</v>
      </c>
      <c r="B17" s="1">
        <v>41957.58984375</v>
      </c>
      <c r="C17" s="1">
        <v>44701.3984375</v>
      </c>
      <c r="E17" s="1">
        <v>44873.8125</v>
      </c>
      <c r="F17" s="1">
        <v>42639.1796875</v>
      </c>
      <c r="G17" s="1">
        <v>38624.53125</v>
      </c>
      <c r="I17" s="1">
        <v>-493.19683837890625</v>
      </c>
      <c r="J17" s="1">
        <v>201.47137451171875</v>
      </c>
      <c r="K17" s="1">
        <v>-410.5294189453125</v>
      </c>
      <c r="M17" s="1">
        <v>38643.359375</v>
      </c>
      <c r="N17" s="1">
        <v>60698.5546875</v>
      </c>
      <c r="O17" s="1">
        <v>50912.1015625</v>
      </c>
      <c r="R17" s="3">
        <v>16</v>
      </c>
      <c r="S17" s="1">
        <f t="shared" si="0"/>
        <v>22766.356119791668</v>
      </c>
      <c r="T17" s="1">
        <f t="shared" si="1"/>
        <v>22153.442057291668</v>
      </c>
      <c r="U17" s="1">
        <f t="shared" si="2"/>
        <v>-185.15967305501303</v>
      </c>
      <c r="V17" s="1">
        <f t="shared" si="3"/>
        <v>29364.660807291668</v>
      </c>
      <c r="W17" s="1">
        <f t="shared" si="4"/>
        <v>-581.15054321289063</v>
      </c>
      <c r="X17" s="1">
        <f t="shared" si="5"/>
        <v>-612.27870686848962</v>
      </c>
      <c r="Y17" s="1">
        <f t="shared" si="6"/>
        <v>855.54792277018225</v>
      </c>
      <c r="Z17" s="1">
        <f t="shared" si="7"/>
        <v>-247.26500701904297</v>
      </c>
    </row>
    <row r="18" spans="1:26">
      <c r="A18" s="1">
        <v>79627.6171875</v>
      </c>
      <c r="B18" s="1">
        <v>75795.8515625</v>
      </c>
      <c r="C18" s="1">
        <v>79549.6171875</v>
      </c>
      <c r="E18" s="1">
        <v>77493.1015625</v>
      </c>
      <c r="F18" s="1">
        <v>77304.640625</v>
      </c>
      <c r="G18" s="1">
        <v>67985.921875</v>
      </c>
      <c r="I18" s="1">
        <v>-510.17568969726563</v>
      </c>
      <c r="J18" s="1">
        <v>152.57955932617188</v>
      </c>
      <c r="K18" s="1">
        <v>-240.67677307128906</v>
      </c>
      <c r="M18" s="1">
        <v>64013.91015625</v>
      </c>
      <c r="N18" s="1">
        <v>92154.171875</v>
      </c>
      <c r="O18" s="1">
        <v>84015.21875</v>
      </c>
      <c r="R18" s="3">
        <v>17</v>
      </c>
      <c r="S18" s="1">
        <f t="shared" si="0"/>
        <v>43194.904947916664</v>
      </c>
      <c r="T18" s="1">
        <f t="shared" si="1"/>
        <v>42045.841145833336</v>
      </c>
      <c r="U18" s="1">
        <f t="shared" si="2"/>
        <v>-234.0849609375</v>
      </c>
      <c r="V18" s="1">
        <f t="shared" si="3"/>
        <v>50084.671875</v>
      </c>
      <c r="W18" s="1">
        <f t="shared" si="4"/>
        <v>-344.93833414713544</v>
      </c>
      <c r="X18" s="1">
        <f t="shared" si="5"/>
        <v>-826.626698811849</v>
      </c>
      <c r="Y18" s="1">
        <f t="shared" si="6"/>
        <v>974.99839274088538</v>
      </c>
      <c r="Z18" s="1">
        <f t="shared" si="7"/>
        <v>-40.681653340657554</v>
      </c>
    </row>
    <row r="19" spans="1:26">
      <c r="A19" s="1">
        <v>134819.09375</v>
      </c>
      <c r="B19" s="1">
        <v>124764.6640625</v>
      </c>
      <c r="C19" s="1">
        <v>129538.609375</v>
      </c>
      <c r="E19" s="1">
        <v>125311.6640625</v>
      </c>
      <c r="F19" s="1">
        <v>125742.515625</v>
      </c>
      <c r="G19" s="1">
        <v>109674.1171875</v>
      </c>
      <c r="I19" s="1">
        <v>-287.78732299804688</v>
      </c>
      <c r="J19" s="1">
        <v>166.52757263183594</v>
      </c>
      <c r="K19" s="1">
        <v>131.36335754394531</v>
      </c>
      <c r="M19" s="1">
        <v>93776.21875</v>
      </c>
      <c r="N19" s="1">
        <v>131534.671875</v>
      </c>
      <c r="O19" s="1">
        <v>125643.9453125</v>
      </c>
      <c r="R19" s="3">
        <v>18</v>
      </c>
      <c r="S19" s="1">
        <f t="shared" si="0"/>
        <v>78324.361979166672</v>
      </c>
      <c r="T19" s="1">
        <f t="shared" si="1"/>
        <v>74261.221354166672</v>
      </c>
      <c r="U19" s="1">
        <f t="shared" si="2"/>
        <v>-199.42430114746094</v>
      </c>
      <c r="V19" s="1">
        <f t="shared" si="3"/>
        <v>80061.100260416672</v>
      </c>
      <c r="W19" s="1">
        <f t="shared" si="4"/>
        <v>-305.064692179362</v>
      </c>
      <c r="X19" s="1">
        <f t="shared" si="5"/>
        <v>-871.68820826212561</v>
      </c>
      <c r="Y19" s="1">
        <f t="shared" si="6"/>
        <v>1074.7001647949219</v>
      </c>
      <c r="Z19" s="1">
        <f t="shared" si="7"/>
        <v>-79.525402069091797</v>
      </c>
    </row>
    <row r="20" spans="1:26">
      <c r="A20" s="1">
        <v>203421</v>
      </c>
      <c r="B20" s="1">
        <v>184375.953125</v>
      </c>
      <c r="C20" s="1">
        <v>191096.0625</v>
      </c>
      <c r="E20" s="1">
        <v>182500.96875</v>
      </c>
      <c r="F20" s="1">
        <v>183057.28125</v>
      </c>
      <c r="G20" s="1">
        <v>158706.984375</v>
      </c>
      <c r="I20" s="1">
        <v>-123.31304931640625</v>
      </c>
      <c r="J20" s="1">
        <v>257.16506958007813</v>
      </c>
      <c r="K20" s="1">
        <v>107.09098052978516</v>
      </c>
      <c r="M20" s="1">
        <v>125079.6640625</v>
      </c>
      <c r="N20" s="1">
        <v>173176.421875</v>
      </c>
      <c r="O20" s="1">
        <v>169015.5625</v>
      </c>
      <c r="R20" s="3">
        <v>19</v>
      </c>
      <c r="S20" s="1">
        <f t="shared" si="0"/>
        <v>129707.45572916667</v>
      </c>
      <c r="T20" s="1">
        <f t="shared" si="1"/>
        <v>120242.765625</v>
      </c>
      <c r="U20" s="1">
        <f t="shared" si="2"/>
        <v>3.3678690592447915</v>
      </c>
      <c r="V20" s="1">
        <f t="shared" si="3"/>
        <v>116984.9453125</v>
      </c>
      <c r="W20" s="1">
        <f t="shared" si="4"/>
        <v>-107.79390525817871</v>
      </c>
      <c r="X20" s="1">
        <f t="shared" si="5"/>
        <v>-834.04926045735681</v>
      </c>
      <c r="Y20" s="1">
        <f t="shared" si="6"/>
        <v>1008.6753679911295</v>
      </c>
      <c r="Z20" s="1">
        <f t="shared" si="7"/>
        <v>-130.49674224853516</v>
      </c>
    </row>
    <row r="21" spans="1:26">
      <c r="A21" s="1">
        <v>271656.5</v>
      </c>
      <c r="B21" s="1">
        <v>243328.015625</v>
      </c>
      <c r="C21" s="1">
        <v>251671.5625</v>
      </c>
      <c r="E21" s="1">
        <v>241391.78125</v>
      </c>
      <c r="F21" s="1">
        <v>239920.015625</v>
      </c>
      <c r="G21" s="1">
        <v>208630.53125</v>
      </c>
      <c r="I21" s="1">
        <v>153.88194274902344</v>
      </c>
      <c r="J21" s="1">
        <v>40.150192260742188</v>
      </c>
      <c r="K21" s="1">
        <v>544.174072265625</v>
      </c>
      <c r="M21" s="1">
        <v>155921.453125</v>
      </c>
      <c r="N21" s="1">
        <v>211567.890625</v>
      </c>
      <c r="O21" s="1">
        <v>210424.9375</v>
      </c>
      <c r="R21" s="3">
        <v>20</v>
      </c>
      <c r="S21" s="1">
        <f t="shared" si="0"/>
        <v>192964.33854166666</v>
      </c>
      <c r="T21" s="1">
        <f t="shared" si="1"/>
        <v>174755.078125</v>
      </c>
      <c r="U21" s="1">
        <f t="shared" si="2"/>
        <v>80.314333597819015</v>
      </c>
      <c r="V21" s="1">
        <f t="shared" si="3"/>
        <v>155757.21614583334</v>
      </c>
      <c r="W21" s="1">
        <f t="shared" si="4"/>
        <v>203.14875411987305</v>
      </c>
      <c r="X21" s="1">
        <f t="shared" si="5"/>
        <v>-895.740976969401</v>
      </c>
      <c r="Y21" s="1">
        <f t="shared" si="6"/>
        <v>1104.0099538167317</v>
      </c>
      <c r="Z21" s="1">
        <f t="shared" si="7"/>
        <v>-244.51236979166666</v>
      </c>
    </row>
    <row r="22" spans="1:26">
      <c r="A22" s="1">
        <v>329759.03125</v>
      </c>
      <c r="B22" s="1">
        <v>294376.6875</v>
      </c>
      <c r="C22" s="1">
        <v>304953.625</v>
      </c>
      <c r="E22" s="1">
        <v>295922.8125</v>
      </c>
      <c r="F22" s="1">
        <v>290639.25</v>
      </c>
      <c r="G22" s="1">
        <v>256946.0625</v>
      </c>
      <c r="I22" s="1">
        <v>265.73123168945313</v>
      </c>
      <c r="J22" s="1">
        <v>-78.934982299804688</v>
      </c>
      <c r="K22" s="1">
        <v>352.50717163085938</v>
      </c>
      <c r="M22" s="1">
        <v>183744.875</v>
      </c>
      <c r="N22" s="1">
        <v>245712.625</v>
      </c>
      <c r="O22" s="1">
        <v>248950.625</v>
      </c>
      <c r="R22" s="3">
        <v>21</v>
      </c>
      <c r="S22" s="1">
        <f t="shared" si="0"/>
        <v>255552.02604166666</v>
      </c>
      <c r="T22" s="1">
        <f t="shared" si="1"/>
        <v>229980.77604166666</v>
      </c>
      <c r="U22" s="1">
        <f t="shared" si="2"/>
        <v>246.06873575846353</v>
      </c>
      <c r="V22" s="1">
        <f t="shared" si="3"/>
        <v>192638.09375</v>
      </c>
      <c r="W22" s="1">
        <f t="shared" si="4"/>
        <v>393.69167073567706</v>
      </c>
      <c r="X22" s="1">
        <f t="shared" si="5"/>
        <v>-718.8468017578125</v>
      </c>
      <c r="Y22" s="1">
        <f t="shared" si="6"/>
        <v>1284.3379516601563</v>
      </c>
      <c r="Z22" s="1">
        <f t="shared" si="7"/>
        <v>-254.93944295247397</v>
      </c>
    </row>
    <row r="23" spans="1:26">
      <c r="A23" s="1">
        <v>377021.09375</v>
      </c>
      <c r="B23" s="1">
        <v>334880.40625</v>
      </c>
      <c r="C23" s="1">
        <v>349765.5</v>
      </c>
      <c r="E23" s="1">
        <v>343279.0625</v>
      </c>
      <c r="F23" s="1">
        <v>336687.5</v>
      </c>
      <c r="G23" s="1">
        <v>299516.03125</v>
      </c>
      <c r="I23" s="1">
        <v>-212.84135437011719</v>
      </c>
      <c r="J23" s="1">
        <v>-24.067035675048828</v>
      </c>
      <c r="K23" s="1">
        <v>37.902763366699219</v>
      </c>
      <c r="M23" s="1">
        <v>208047.703125</v>
      </c>
      <c r="N23" s="1">
        <v>272309.6875</v>
      </c>
      <c r="O23" s="1">
        <v>283812.65625</v>
      </c>
      <c r="R23" s="3">
        <v>22</v>
      </c>
      <c r="S23" s="1">
        <f t="shared" si="0"/>
        <v>309696.44791666669</v>
      </c>
      <c r="T23" s="1">
        <f t="shared" si="1"/>
        <v>281169.375</v>
      </c>
      <c r="U23" s="1">
        <f t="shared" si="2"/>
        <v>179.76780700683594</v>
      </c>
      <c r="V23" s="1">
        <f t="shared" si="3"/>
        <v>226136.04166666666</v>
      </c>
      <c r="W23" s="1">
        <f t="shared" si="4"/>
        <v>361.15256245930988</v>
      </c>
      <c r="X23" s="1">
        <f t="shared" si="5"/>
        <v>-418.78586832682294</v>
      </c>
      <c r="Y23" s="1">
        <f t="shared" si="6"/>
        <v>1557.2624448140461</v>
      </c>
      <c r="Z23" s="1">
        <f t="shared" si="7"/>
        <v>114.09440104166667</v>
      </c>
    </row>
    <row r="24" spans="1:26">
      <c r="A24" s="1">
        <v>413367.46875</v>
      </c>
      <c r="B24" s="1">
        <v>367659.0625</v>
      </c>
      <c r="C24" s="1">
        <v>385748.9375</v>
      </c>
      <c r="E24" s="1">
        <v>384508.1875</v>
      </c>
      <c r="F24" s="1">
        <v>374872.125</v>
      </c>
      <c r="G24" s="1">
        <v>336929</v>
      </c>
      <c r="I24" s="1">
        <v>-403.9315185546875</v>
      </c>
      <c r="J24" s="1">
        <v>169.40834045410156</v>
      </c>
      <c r="K24" s="1">
        <v>-325.98678588867188</v>
      </c>
      <c r="M24" s="1">
        <v>229289.890625</v>
      </c>
      <c r="N24" s="1">
        <v>295453.1875</v>
      </c>
      <c r="O24" s="1">
        <v>313981.71875</v>
      </c>
      <c r="R24" s="3">
        <v>23</v>
      </c>
      <c r="S24" s="1">
        <f t="shared" si="0"/>
        <v>353889</v>
      </c>
      <c r="T24" s="1">
        <f t="shared" si="1"/>
        <v>326494.19791666669</v>
      </c>
      <c r="U24" s="1">
        <f t="shared" si="2"/>
        <v>-66.335208892822266</v>
      </c>
      <c r="V24" s="1">
        <f t="shared" si="3"/>
        <v>254723.34895833334</v>
      </c>
      <c r="W24" s="1">
        <f t="shared" si="4"/>
        <v>401.32307942708331</v>
      </c>
      <c r="X24" s="1">
        <f t="shared" si="5"/>
        <v>-506.67033894856769</v>
      </c>
      <c r="Y24" s="1">
        <f t="shared" si="6"/>
        <v>1755.8612620035808</v>
      </c>
      <c r="Z24" s="1">
        <f t="shared" si="7"/>
        <v>720.90431245168054</v>
      </c>
    </row>
    <row r="25" spans="1:26">
      <c r="A25" s="1">
        <v>441236.09375</v>
      </c>
      <c r="B25" s="1">
        <v>393342.84375</v>
      </c>
      <c r="C25" s="1">
        <v>414210.3125</v>
      </c>
      <c r="E25" s="1">
        <v>418517.125</v>
      </c>
      <c r="F25" s="1">
        <v>407345.8125</v>
      </c>
      <c r="G25" s="1">
        <v>368766.71875</v>
      </c>
      <c r="I25" s="1">
        <v>-164.24826049804688</v>
      </c>
      <c r="J25" s="1">
        <v>-26.883874893188477</v>
      </c>
      <c r="K25" s="1">
        <v>-498.7435302734375</v>
      </c>
      <c r="M25" s="1">
        <v>248083.640625</v>
      </c>
      <c r="N25" s="1">
        <v>315833.34375</v>
      </c>
      <c r="O25" s="1">
        <v>340826.15625</v>
      </c>
      <c r="R25" s="3">
        <v>24</v>
      </c>
      <c r="S25" s="1">
        <f t="shared" si="0"/>
        <v>388925.15625</v>
      </c>
      <c r="T25" s="1">
        <f t="shared" si="1"/>
        <v>365436.4375</v>
      </c>
      <c r="U25" s="1">
        <f t="shared" si="2"/>
        <v>-186.83665466308594</v>
      </c>
      <c r="V25" s="1">
        <f t="shared" si="3"/>
        <v>279574.93229166669</v>
      </c>
      <c r="W25" s="1">
        <f t="shared" si="4"/>
        <v>614.05091730753577</v>
      </c>
      <c r="X25" s="1">
        <f t="shared" si="5"/>
        <v>-426.85688781738281</v>
      </c>
      <c r="Y25" s="1">
        <f t="shared" si="6"/>
        <v>2068.7192077636719</v>
      </c>
      <c r="Z25" s="1">
        <f t="shared" si="7"/>
        <v>1257.2506612141926</v>
      </c>
    </row>
    <row r="26" spans="1:26">
      <c r="A26" s="1">
        <v>462279.4375</v>
      </c>
      <c r="B26" s="1">
        <v>413021.09375</v>
      </c>
      <c r="C26" s="1">
        <v>437693.8125</v>
      </c>
      <c r="E26" s="1">
        <v>446168.40625</v>
      </c>
      <c r="F26" s="1">
        <v>434251.375</v>
      </c>
      <c r="G26" s="1">
        <v>396085.90625</v>
      </c>
      <c r="I26" s="1">
        <v>151.25923156738281</v>
      </c>
      <c r="J26" s="1">
        <v>-5.7932696342468262</v>
      </c>
      <c r="K26" s="1">
        <v>-416.48077392578125</v>
      </c>
      <c r="M26" s="1">
        <v>264632.40625</v>
      </c>
      <c r="N26" s="1">
        <v>333435.28125</v>
      </c>
      <c r="O26" s="1">
        <v>363592.46875</v>
      </c>
      <c r="R26" s="3">
        <v>25</v>
      </c>
      <c r="S26" s="1">
        <f t="shared" si="0"/>
        <v>416263.08333333331</v>
      </c>
      <c r="T26" s="1">
        <f t="shared" si="1"/>
        <v>398209.88541666669</v>
      </c>
      <c r="U26" s="1">
        <f t="shared" si="2"/>
        <v>-229.95855522155762</v>
      </c>
      <c r="V26" s="1">
        <f t="shared" si="3"/>
        <v>301581.046875</v>
      </c>
      <c r="W26" s="1">
        <f t="shared" si="4"/>
        <v>655.22013854980469</v>
      </c>
      <c r="X26" s="1">
        <f t="shared" si="5"/>
        <v>-170.83246358235678</v>
      </c>
      <c r="Y26" s="1">
        <f t="shared" si="6"/>
        <v>2345.3455403645835</v>
      </c>
      <c r="Z26" s="1">
        <f t="shared" si="7"/>
        <v>2075.4459635416665</v>
      </c>
    </row>
    <row r="27" spans="1:26">
      <c r="A27" s="1">
        <v>477602.3125</v>
      </c>
      <c r="B27" s="1">
        <v>428008.96875</v>
      </c>
      <c r="C27" s="1">
        <v>454903.40625</v>
      </c>
      <c r="E27" s="1">
        <v>469583.75</v>
      </c>
      <c r="F27" s="1">
        <v>456509.53125</v>
      </c>
      <c r="G27" s="1">
        <v>418061.3125</v>
      </c>
      <c r="I27" s="1">
        <v>-16.262575149536133</v>
      </c>
      <c r="J27" s="1">
        <v>218.67428588867188</v>
      </c>
      <c r="K27" s="1">
        <v>-662.63983154296875</v>
      </c>
      <c r="M27" s="1">
        <v>277772.8125</v>
      </c>
      <c r="N27" s="1">
        <v>344922.5625</v>
      </c>
      <c r="O27" s="1">
        <v>382435.03125</v>
      </c>
      <c r="R27" s="3">
        <v>26</v>
      </c>
      <c r="S27" s="1">
        <f t="shared" si="0"/>
        <v>437664.78125</v>
      </c>
      <c r="T27" s="1">
        <f t="shared" si="1"/>
        <v>425501.89583333331</v>
      </c>
      <c r="U27" s="1">
        <f t="shared" si="2"/>
        <v>-90.338270664215088</v>
      </c>
      <c r="V27" s="1">
        <f t="shared" si="3"/>
        <v>320553.38541666669</v>
      </c>
      <c r="W27" s="1">
        <f t="shared" si="4"/>
        <v>675.51305524508155</v>
      </c>
      <c r="X27" s="1">
        <f t="shared" si="5"/>
        <v>74.499237060546875</v>
      </c>
      <c r="Y27" s="1">
        <f t="shared" si="6"/>
        <v>2526.5719604492188</v>
      </c>
      <c r="Z27" s="1">
        <f t="shared" si="7"/>
        <v>3574.1439208984375</v>
      </c>
    </row>
    <row r="28" spans="1:26">
      <c r="A28" s="1">
        <v>489077.03125</v>
      </c>
      <c r="B28" s="1">
        <v>439890.34375</v>
      </c>
      <c r="C28" s="1">
        <v>469221.25</v>
      </c>
      <c r="E28" s="1">
        <v>489429.4375</v>
      </c>
      <c r="F28" s="1">
        <v>473983.53125</v>
      </c>
      <c r="G28" s="1">
        <v>437456</v>
      </c>
      <c r="I28" s="1">
        <v>-519.63787841796875</v>
      </c>
      <c r="J28" s="1">
        <v>323.155517578125</v>
      </c>
      <c r="K28" s="1">
        <v>-768.6114501953125</v>
      </c>
      <c r="M28" s="1">
        <v>288239.125</v>
      </c>
      <c r="N28" s="1">
        <v>353765.96875</v>
      </c>
      <c r="O28" s="1">
        <v>399289.65625</v>
      </c>
      <c r="R28" s="3">
        <v>27</v>
      </c>
      <c r="S28" s="1">
        <f t="shared" si="0"/>
        <v>453504.89583333331</v>
      </c>
      <c r="T28" s="1">
        <f t="shared" si="1"/>
        <v>448051.53125</v>
      </c>
      <c r="U28" s="1">
        <f t="shared" si="2"/>
        <v>-153.40937360127768</v>
      </c>
      <c r="V28" s="1">
        <f t="shared" si="3"/>
        <v>335043.46875</v>
      </c>
      <c r="W28" s="1">
        <f t="shared" si="4"/>
        <v>816.96738688151038</v>
      </c>
      <c r="X28" s="1">
        <f t="shared" si="5"/>
        <v>103.13299051920573</v>
      </c>
      <c r="Y28" s="1">
        <f t="shared" si="6"/>
        <v>2612.6683349609375</v>
      </c>
      <c r="Z28" s="1">
        <f t="shared" si="7"/>
        <v>6179.240315755208</v>
      </c>
    </row>
    <row r="29" spans="1:26">
      <c r="A29" s="1">
        <v>498669.75</v>
      </c>
      <c r="B29" s="1">
        <v>449043.46875</v>
      </c>
      <c r="C29" s="1">
        <v>480402.53125</v>
      </c>
      <c r="E29" s="1">
        <v>505577.59375</v>
      </c>
      <c r="F29" s="1">
        <v>489542.59375</v>
      </c>
      <c r="G29" s="1">
        <v>453850.21875</v>
      </c>
      <c r="I29" s="1">
        <v>-533.37457275390625</v>
      </c>
      <c r="J29" s="1">
        <v>533.78125</v>
      </c>
      <c r="K29" s="1">
        <v>-375.46585083007813</v>
      </c>
      <c r="M29" s="1">
        <v>296741.0625</v>
      </c>
      <c r="N29" s="1">
        <v>361856.8125</v>
      </c>
      <c r="O29" s="1">
        <v>412552.84375</v>
      </c>
      <c r="R29" s="3">
        <v>28</v>
      </c>
      <c r="S29" s="1">
        <f t="shared" si="0"/>
        <v>466062.875</v>
      </c>
      <c r="T29" s="1">
        <f t="shared" si="1"/>
        <v>466956.32291666669</v>
      </c>
      <c r="U29" s="1">
        <f t="shared" si="2"/>
        <v>-321.69793701171875</v>
      </c>
      <c r="V29" s="1">
        <f t="shared" si="3"/>
        <v>347098.25</v>
      </c>
      <c r="W29" s="1">
        <f t="shared" si="4"/>
        <v>1322.3410695393879</v>
      </c>
      <c r="X29" s="1">
        <f t="shared" si="5"/>
        <v>280.02719624837238</v>
      </c>
      <c r="Y29" s="1">
        <f t="shared" si="6"/>
        <v>2243.4559682210288</v>
      </c>
      <c r="Z29" s="1">
        <f t="shared" si="7"/>
        <v>10862.78173828125</v>
      </c>
    </row>
    <row r="30" spans="1:26">
      <c r="A30" s="1">
        <v>505301.34375</v>
      </c>
      <c r="B30" s="1">
        <v>455926.71875</v>
      </c>
      <c r="C30" s="1">
        <v>489114.875</v>
      </c>
      <c r="E30" s="1">
        <v>519237.4375</v>
      </c>
      <c r="F30" s="1">
        <v>502831.09375</v>
      </c>
      <c r="G30" s="1">
        <v>467052.5625</v>
      </c>
      <c r="I30" s="1">
        <v>304.5118408203125</v>
      </c>
      <c r="J30" s="1">
        <v>653.36798095703125</v>
      </c>
      <c r="K30" s="1">
        <v>-308.87493896484375</v>
      </c>
      <c r="M30" s="1">
        <v>303232.6875</v>
      </c>
      <c r="N30" s="1">
        <v>367296.125</v>
      </c>
      <c r="O30" s="1">
        <v>424462.625</v>
      </c>
      <c r="R30" s="3">
        <v>29</v>
      </c>
      <c r="S30" s="1">
        <f t="shared" si="0"/>
        <v>476038.58333333331</v>
      </c>
      <c r="T30" s="1">
        <f t="shared" si="1"/>
        <v>482990.13541666669</v>
      </c>
      <c r="U30" s="1">
        <f t="shared" si="2"/>
        <v>-125.0197245279948</v>
      </c>
      <c r="V30" s="1">
        <f t="shared" si="3"/>
        <v>357050.23958333331</v>
      </c>
      <c r="W30" s="1">
        <f t="shared" si="4"/>
        <v>1840.8787434895833</v>
      </c>
      <c r="X30" s="1">
        <f t="shared" si="5"/>
        <v>697.77294921875</v>
      </c>
      <c r="Y30" s="1">
        <f t="shared" si="6"/>
        <v>2358.2826601664224</v>
      </c>
      <c r="Z30" s="1">
        <f t="shared" si="7"/>
        <v>20109.9873046875</v>
      </c>
    </row>
    <row r="31" spans="1:26">
      <c r="A31" s="1">
        <v>509299.71875</v>
      </c>
      <c r="B31" s="1">
        <v>460847.25</v>
      </c>
      <c r="C31" s="1">
        <v>495875.03125</v>
      </c>
      <c r="E31" s="1">
        <v>530183.375</v>
      </c>
      <c r="F31" s="1">
        <v>513252.5</v>
      </c>
      <c r="G31" s="1">
        <v>477900.59375</v>
      </c>
      <c r="I31" s="1">
        <v>632.49005126953125</v>
      </c>
      <c r="J31" s="1">
        <v>957.77886962890625</v>
      </c>
      <c r="K31" s="1">
        <v>-661.9285888671875</v>
      </c>
      <c r="M31" s="1">
        <v>307363.84375</v>
      </c>
      <c r="N31" s="1">
        <v>371207.5625</v>
      </c>
      <c r="O31" s="1">
        <v>435748</v>
      </c>
      <c r="R31" s="3">
        <v>30</v>
      </c>
      <c r="S31" s="1">
        <f t="shared" si="0"/>
        <v>483447.64583333331</v>
      </c>
      <c r="T31" s="1">
        <f t="shared" si="1"/>
        <v>496373.69791666669</v>
      </c>
      <c r="U31" s="1">
        <f t="shared" si="2"/>
        <v>216.3349609375</v>
      </c>
      <c r="V31" s="1">
        <f t="shared" si="3"/>
        <v>364997.14583333331</v>
      </c>
      <c r="W31" s="1">
        <f t="shared" si="4"/>
        <v>2401.546630859375</v>
      </c>
      <c r="X31" s="1">
        <f t="shared" si="5"/>
        <v>747.39894866943359</v>
      </c>
      <c r="Y31" s="1">
        <f t="shared" si="6"/>
        <v>2647.4167989095054</v>
      </c>
      <c r="Z31" s="1">
        <f t="shared" si="7"/>
        <v>37002.717447916664</v>
      </c>
    </row>
    <row r="32" spans="1:26">
      <c r="A32" s="1">
        <v>512585.75</v>
      </c>
      <c r="B32" s="1">
        <v>463933.15625</v>
      </c>
      <c r="C32" s="1">
        <v>502001.21875</v>
      </c>
      <c r="E32" s="1">
        <v>539967.0625</v>
      </c>
      <c r="F32" s="1">
        <v>521913.28125</v>
      </c>
      <c r="G32" s="1">
        <v>488097.5625</v>
      </c>
      <c r="I32" s="1">
        <v>471.86276245117188</v>
      </c>
      <c r="J32" s="1">
        <v>922.0804443359375</v>
      </c>
      <c r="K32" s="1">
        <v>-980.368896484375</v>
      </c>
      <c r="M32" s="1">
        <v>312496.8125</v>
      </c>
      <c r="N32" s="1">
        <v>374413.09375</v>
      </c>
      <c r="O32" s="1">
        <v>445081.375</v>
      </c>
      <c r="R32" s="3">
        <v>31</v>
      </c>
      <c r="S32" s="1">
        <f t="shared" si="0"/>
        <v>488674</v>
      </c>
      <c r="T32" s="1">
        <f t="shared" si="1"/>
        <v>507112.15625</v>
      </c>
      <c r="U32" s="1">
        <f t="shared" si="2"/>
        <v>309.44677734375</v>
      </c>
      <c r="V32" s="1">
        <f t="shared" si="3"/>
        <v>371439.80208333331</v>
      </c>
      <c r="W32" s="1">
        <f t="shared" si="4"/>
        <v>4228.101318359375</v>
      </c>
      <c r="X32" s="1">
        <f t="shared" si="5"/>
        <v>543.30614725748694</v>
      </c>
      <c r="Y32" s="1">
        <f t="shared" si="6"/>
        <v>2701.0624796549478</v>
      </c>
      <c r="Z32" s="1">
        <f t="shared" si="7"/>
        <v>66186.817708333328</v>
      </c>
    </row>
    <row r="33" spans="1:26">
      <c r="A33" s="1">
        <v>514258.84375</v>
      </c>
      <c r="B33" s="1">
        <v>466250.96875</v>
      </c>
      <c r="C33" s="1">
        <v>506308.25</v>
      </c>
      <c r="E33" s="1">
        <v>547559.875</v>
      </c>
      <c r="F33" s="1">
        <v>529557</v>
      </c>
      <c r="G33" s="1">
        <v>497001.75</v>
      </c>
      <c r="I33" s="1">
        <v>228.21595764160156</v>
      </c>
      <c r="J33" s="1">
        <v>801.1925048828125</v>
      </c>
      <c r="K33" s="1">
        <v>-917.10614013671875</v>
      </c>
      <c r="M33" s="1">
        <v>316710.8125</v>
      </c>
      <c r="N33" s="1">
        <v>375753.15625</v>
      </c>
      <c r="O33" s="1">
        <v>452993.5625</v>
      </c>
      <c r="R33" s="3">
        <v>32</v>
      </c>
      <c r="S33" s="1">
        <f t="shared" si="0"/>
        <v>492840.04166666669</v>
      </c>
      <c r="T33" s="1">
        <f t="shared" si="1"/>
        <v>516659.30208333331</v>
      </c>
      <c r="U33" s="1">
        <f t="shared" si="2"/>
        <v>137.85810343424478</v>
      </c>
      <c r="V33" s="1">
        <f t="shared" si="3"/>
        <v>377330.42708333331</v>
      </c>
      <c r="W33" s="1">
        <f t="shared" si="4"/>
        <v>7410.279622395833</v>
      </c>
      <c r="X33" s="1">
        <f t="shared" si="5"/>
        <v>735.86438496907556</v>
      </c>
      <c r="Y33" s="1">
        <f t="shared" si="6"/>
        <v>3009.1276245117188</v>
      </c>
      <c r="Z33" s="1">
        <f t="shared" si="7"/>
        <v>114609.15625</v>
      </c>
    </row>
    <row r="34" spans="1:26">
      <c r="A34" s="1">
        <v>513374.4375</v>
      </c>
      <c r="B34" s="1">
        <v>467329.25</v>
      </c>
      <c r="C34" s="1">
        <v>509122.34375</v>
      </c>
      <c r="E34" s="1">
        <v>552610.875</v>
      </c>
      <c r="F34" s="1">
        <v>536330.6875</v>
      </c>
      <c r="G34" s="1">
        <v>504604.34375</v>
      </c>
      <c r="I34" s="1">
        <v>-100.94843292236328</v>
      </c>
      <c r="J34" s="1">
        <v>525.19915771484375</v>
      </c>
      <c r="K34" s="1">
        <v>-165.75740051269531</v>
      </c>
      <c r="M34" s="1">
        <v>319903.09375</v>
      </c>
      <c r="N34" s="1">
        <v>377173.9375</v>
      </c>
      <c r="O34" s="1">
        <v>459787</v>
      </c>
      <c r="R34" s="3">
        <v>33</v>
      </c>
      <c r="S34" s="1">
        <f t="shared" si="0"/>
        <v>495606.02083333331</v>
      </c>
      <c r="T34" s="1">
        <f t="shared" si="1"/>
        <v>524706.20833333337</v>
      </c>
      <c r="U34" s="1">
        <f t="shared" si="2"/>
        <v>37.434107462565102</v>
      </c>
      <c r="V34" s="1">
        <f t="shared" si="3"/>
        <v>381819.17708333331</v>
      </c>
      <c r="W34" s="1">
        <f t="shared" si="4"/>
        <v>12894.984049479166</v>
      </c>
      <c r="X34" s="1">
        <f t="shared" si="5"/>
        <v>857.20394897460938</v>
      </c>
      <c r="Y34" s="1">
        <f t="shared" si="6"/>
        <v>3271.635294596354</v>
      </c>
      <c r="Z34" s="1">
        <f t="shared" si="7"/>
        <v>181665.16666666666</v>
      </c>
    </row>
    <row r="35" spans="1:26">
      <c r="A35" s="1">
        <v>511954.625</v>
      </c>
      <c r="B35" s="1">
        <v>467362.5625</v>
      </c>
      <c r="C35" s="1">
        <v>510743.8125</v>
      </c>
      <c r="E35" s="1">
        <v>555704.75</v>
      </c>
      <c r="F35" s="1">
        <v>539780.5</v>
      </c>
      <c r="G35" s="1">
        <v>508795.375</v>
      </c>
      <c r="I35" s="1">
        <v>-289.46047973632813</v>
      </c>
      <c r="J35" s="1">
        <v>485.35614013671875</v>
      </c>
      <c r="K35" s="1">
        <v>527.70068359375</v>
      </c>
      <c r="M35" s="1">
        <v>320840.3125</v>
      </c>
      <c r="N35" s="1">
        <v>376904.59375</v>
      </c>
      <c r="O35" s="1">
        <v>464402.3125</v>
      </c>
      <c r="R35" s="3">
        <v>34</v>
      </c>
      <c r="S35" s="1">
        <f t="shared" si="0"/>
        <v>496608.67708333331</v>
      </c>
      <c r="T35" s="1">
        <f t="shared" si="1"/>
        <v>531181.96875</v>
      </c>
      <c r="U35" s="1">
        <f t="shared" si="2"/>
        <v>86.164441426595047</v>
      </c>
      <c r="V35" s="1">
        <f t="shared" si="3"/>
        <v>385621.34375</v>
      </c>
      <c r="W35" s="1">
        <f t="shared" si="4"/>
        <v>23501.278645833332</v>
      </c>
      <c r="X35" s="1">
        <f t="shared" si="5"/>
        <v>1023.7778263092041</v>
      </c>
      <c r="Y35" s="1">
        <f t="shared" si="6"/>
        <v>3418.0088704427085</v>
      </c>
      <c r="Z35" s="1">
        <f t="shared" si="7"/>
        <v>257518.40104166666</v>
      </c>
    </row>
    <row r="36" spans="1:26">
      <c r="R36" s="3">
        <v>35</v>
      </c>
      <c r="S36" s="1">
        <f t="shared" si="0"/>
        <v>496687</v>
      </c>
      <c r="T36" s="1">
        <f t="shared" si="1"/>
        <v>534760.20833333337</v>
      </c>
      <c r="U36" s="1">
        <f t="shared" si="2"/>
        <v>241.19878133138022</v>
      </c>
      <c r="V36" s="1">
        <f t="shared" si="3"/>
        <v>387382.40625</v>
      </c>
      <c r="W36" s="1">
        <f t="shared" si="4"/>
        <v>36885.764973958336</v>
      </c>
      <c r="X36" s="1">
        <f t="shared" si="5"/>
        <v>1514.6407267252605</v>
      </c>
      <c r="Y36" s="1">
        <f t="shared" si="6"/>
        <v>3721.9683634440103</v>
      </c>
      <c r="Z36" s="1">
        <f t="shared" si="7"/>
        <v>321001.54166666669</v>
      </c>
    </row>
    <row r="38" spans="1:26">
      <c r="A38" s="1">
        <v>1593.53564453125</v>
      </c>
      <c r="B38" s="1">
        <v>821.432373046875</v>
      </c>
      <c r="C38" s="1">
        <v>-526.8353271484375</v>
      </c>
      <c r="E38" s="1">
        <v>889.1693115234375</v>
      </c>
      <c r="F38" s="1">
        <v>997.2841796875</v>
      </c>
      <c r="G38" s="1">
        <v>12156.3623046875</v>
      </c>
      <c r="I38" s="1">
        <v>2952.73486328125</v>
      </c>
      <c r="J38" s="1">
        <v>29.138280868530273</v>
      </c>
      <c r="K38" s="1">
        <v>-398.73385620117188</v>
      </c>
      <c r="M38" s="1">
        <v>-1021.3936157226563</v>
      </c>
      <c r="N38" s="1">
        <v>-116.07447814941406</v>
      </c>
      <c r="O38" s="1">
        <v>-1603.788330078125</v>
      </c>
    </row>
    <row r="39" spans="1:26">
      <c r="A39" s="1">
        <v>1666.4005126953125</v>
      </c>
      <c r="B39" s="1">
        <v>692.97662353515625</v>
      </c>
      <c r="C39" s="1">
        <v>-225.59619140625</v>
      </c>
      <c r="E39" s="1">
        <v>2938.526123046875</v>
      </c>
      <c r="F39" s="1">
        <v>871.400634765625</v>
      </c>
      <c r="G39" s="1">
        <v>5041.4462890625</v>
      </c>
      <c r="I39" s="1">
        <v>2396.921142578125</v>
      </c>
      <c r="J39" s="1">
        <v>-73.464065551757813</v>
      </c>
      <c r="K39" s="1">
        <v>-433.1226806640625</v>
      </c>
      <c r="M39" s="1">
        <v>-795.29852294921875</v>
      </c>
      <c r="N39" s="1">
        <v>-537.9295654296875</v>
      </c>
      <c r="O39" s="1">
        <v>-584.35638427734375</v>
      </c>
    </row>
    <row r="40" spans="1:26">
      <c r="A40" s="1">
        <v>-307.63308715820313</v>
      </c>
      <c r="B40" s="1">
        <v>541.22406005859375</v>
      </c>
      <c r="C40" s="1">
        <v>-68.1929931640625</v>
      </c>
      <c r="E40" s="1">
        <v>4466.703125</v>
      </c>
      <c r="F40" s="1">
        <v>613.24359130859375</v>
      </c>
      <c r="G40" s="1">
        <v>1541.3746337890625</v>
      </c>
      <c r="I40" s="1">
        <v>526.38861083984375</v>
      </c>
      <c r="J40" s="1">
        <v>-134.578125</v>
      </c>
      <c r="K40" s="1">
        <v>-258.37478637695313</v>
      </c>
      <c r="M40" s="1">
        <v>-405.43783569335938</v>
      </c>
      <c r="N40" s="1">
        <v>-706.52679443359375</v>
      </c>
      <c r="O40" s="1">
        <v>-463.67446899414063</v>
      </c>
    </row>
    <row r="41" spans="1:26">
      <c r="A41" s="1">
        <v>-647.6353759765625</v>
      </c>
      <c r="B41" s="1">
        <v>-210.66914367675781</v>
      </c>
      <c r="C41" s="1">
        <v>387.077392578125</v>
      </c>
      <c r="E41" s="1">
        <v>5984.23193359375</v>
      </c>
      <c r="F41" s="1">
        <v>297.14129638671875</v>
      </c>
      <c r="G41" s="1">
        <v>2107.076171875</v>
      </c>
      <c r="I41" s="1">
        <v>52.199851989746094</v>
      </c>
      <c r="J41" s="1">
        <v>-30.981250762939453</v>
      </c>
      <c r="K41" s="1">
        <v>-224.45500183105469</v>
      </c>
      <c r="M41" s="1">
        <v>-309.6552734375</v>
      </c>
      <c r="N41" s="1">
        <v>-455.31155395507813</v>
      </c>
      <c r="O41" s="1">
        <v>-272.68008422851563</v>
      </c>
    </row>
    <row r="42" spans="1:26">
      <c r="A42" s="1">
        <v>-261.36819458007813</v>
      </c>
      <c r="B42" s="1">
        <v>-468.74203491210938</v>
      </c>
      <c r="C42" s="1">
        <v>891.0743408203125</v>
      </c>
      <c r="E42" s="1">
        <v>1401.6431884765625</v>
      </c>
      <c r="F42" s="1">
        <v>141.60147094726563</v>
      </c>
      <c r="G42" s="1">
        <v>2374.09814453125</v>
      </c>
      <c r="I42" s="1">
        <v>199.8470458984375</v>
      </c>
      <c r="J42" s="1">
        <v>220.35000610351563</v>
      </c>
      <c r="K42" s="1">
        <v>-1.9570913314819336</v>
      </c>
      <c r="M42" s="1">
        <v>449.23666381835938</v>
      </c>
      <c r="N42" s="1">
        <v>-492.5650634765625</v>
      </c>
      <c r="O42" s="1">
        <v>574.4862060546875</v>
      </c>
    </row>
    <row r="43" spans="1:26">
      <c r="A43" s="1">
        <v>-33.585346221923828</v>
      </c>
      <c r="B43" s="1">
        <v>-261.18994140625</v>
      </c>
      <c r="C43" s="1">
        <v>860.3447265625</v>
      </c>
      <c r="E43" s="1">
        <v>-804.73443603515625</v>
      </c>
      <c r="F43" s="1">
        <v>85.585098266601563</v>
      </c>
      <c r="G43" s="1">
        <v>1050.3231201171875</v>
      </c>
      <c r="I43" s="1">
        <v>-34.216693878173828</v>
      </c>
      <c r="J43" s="1">
        <v>190.55624389648438</v>
      </c>
      <c r="K43" s="1">
        <v>-16.291217803955078</v>
      </c>
      <c r="M43" s="1">
        <v>531.80047607421875</v>
      </c>
      <c r="N43" s="1">
        <v>-308.02169799804688</v>
      </c>
      <c r="O43" s="1">
        <v>428.08218383789063</v>
      </c>
    </row>
    <row r="44" spans="1:26">
      <c r="A44" s="1">
        <v>138.10374450683594</v>
      </c>
      <c r="B44" s="1">
        <v>-353.79409790039063</v>
      </c>
      <c r="C44" s="1">
        <v>356.20883178710938</v>
      </c>
      <c r="E44" s="1">
        <v>-1506.479248046875</v>
      </c>
      <c r="F44" s="1">
        <v>135.9749755859375</v>
      </c>
      <c r="G44" s="1">
        <v>210.74346923828125</v>
      </c>
      <c r="I44" s="1">
        <v>-257.34292602539063</v>
      </c>
      <c r="J44" s="1">
        <v>-245.34687805175781</v>
      </c>
      <c r="K44" s="1">
        <v>76.163719177246094</v>
      </c>
      <c r="M44" s="1">
        <v>133.70024108886719</v>
      </c>
      <c r="N44" s="1">
        <v>297.55291748046875</v>
      </c>
      <c r="O44" s="1">
        <v>-1149.8140869140625</v>
      </c>
    </row>
    <row r="45" spans="1:26">
      <c r="A45" s="1">
        <v>400.8397216796875</v>
      </c>
      <c r="B45" s="1">
        <v>-164.28886413574219</v>
      </c>
      <c r="C45" s="1">
        <v>-358.34109497070313</v>
      </c>
      <c r="E45" s="1">
        <v>-1486.5755615234375</v>
      </c>
      <c r="F45" s="1">
        <v>624.3570556640625</v>
      </c>
      <c r="G45" s="1">
        <v>-339.640869140625</v>
      </c>
      <c r="I45" s="1">
        <v>-364.17620849609375</v>
      </c>
      <c r="J45" s="1">
        <v>-129.6328125</v>
      </c>
      <c r="K45" s="1">
        <v>196.48974609375</v>
      </c>
      <c r="M45" s="1">
        <v>-216.50936889648438</v>
      </c>
      <c r="N45" s="1">
        <v>155.76033020019531</v>
      </c>
      <c r="O45" s="1">
        <v>-1295.366455078125</v>
      </c>
    </row>
    <row r="46" spans="1:26">
      <c r="A46" s="1">
        <v>978.73583984375</v>
      </c>
      <c r="B46" s="1">
        <v>108.31792449951172</v>
      </c>
      <c r="C46" s="1">
        <v>-586.68011474609375</v>
      </c>
      <c r="E46" s="1">
        <v>-1213.6563720703125</v>
      </c>
      <c r="F46" s="1">
        <v>553.38751220703125</v>
      </c>
      <c r="G46" s="1">
        <v>-556.59552001953125</v>
      </c>
      <c r="I46" s="1">
        <v>-436.74777221679688</v>
      </c>
      <c r="J46" s="1">
        <v>551.67108154296875</v>
      </c>
      <c r="K46" s="1">
        <v>273.95248413085938</v>
      </c>
      <c r="M46" s="1">
        <v>-557.625244140625</v>
      </c>
      <c r="N46" s="1">
        <v>-18.196298599243164</v>
      </c>
      <c r="O46" s="1">
        <v>-206.16114807128906</v>
      </c>
    </row>
    <row r="47" spans="1:26">
      <c r="A47" s="1">
        <v>937.8702392578125</v>
      </c>
      <c r="B47" s="1">
        <v>277.01065063476563</v>
      </c>
      <c r="C47" s="1">
        <v>-544.82379150390625</v>
      </c>
      <c r="E47" s="1">
        <v>-843.674560546875</v>
      </c>
      <c r="F47" s="1">
        <v>30.793024063110352</v>
      </c>
      <c r="G47" s="1">
        <v>-674.9876708984375</v>
      </c>
      <c r="I47" s="1">
        <v>-130.83494567871094</v>
      </c>
      <c r="J47" s="1">
        <v>1262.6156005859375</v>
      </c>
      <c r="K47" s="1">
        <v>158.44259643554688</v>
      </c>
      <c r="M47" s="1">
        <v>-654.9989013671875</v>
      </c>
      <c r="N47" s="1">
        <v>216.80018615722656</v>
      </c>
      <c r="O47" s="1">
        <v>1562.973876953125</v>
      </c>
    </row>
    <row r="48" spans="1:26">
      <c r="A48" s="1">
        <v>864.199951171875</v>
      </c>
      <c r="B48" s="1">
        <v>124.02369689941406</v>
      </c>
      <c r="C48" s="1">
        <v>-291.72528076171875</v>
      </c>
      <c r="E48" s="1">
        <v>-635.25531005859375</v>
      </c>
      <c r="F48" s="1">
        <v>-244.74679565429688</v>
      </c>
      <c r="G48" s="1">
        <v>-947.3017578125</v>
      </c>
      <c r="I48" s="1">
        <v>-190.359619140625</v>
      </c>
      <c r="J48" s="1">
        <v>1479.2359619140625</v>
      </c>
      <c r="K48" s="1">
        <v>47.967838287353516</v>
      </c>
      <c r="M48" s="1">
        <v>-4.0366778373718262</v>
      </c>
      <c r="N48" s="1">
        <v>474.11700439453125</v>
      </c>
      <c r="O48" s="1">
        <v>713.48388671875</v>
      </c>
    </row>
    <row r="49" spans="1:15">
      <c r="A49" s="1">
        <v>387.5023193359375</v>
      </c>
      <c r="B49" s="1">
        <v>167.3726806640625</v>
      </c>
      <c r="C49" s="1">
        <v>-200.73616027832031</v>
      </c>
      <c r="E49" s="1">
        <v>-506.38290405273438</v>
      </c>
      <c r="F49" s="1">
        <v>-452.17724609375</v>
      </c>
      <c r="G49" s="1">
        <v>-1198.67041015625</v>
      </c>
      <c r="I49" s="1">
        <v>-288.38040161132813</v>
      </c>
      <c r="J49" s="1">
        <v>1619.203857421875</v>
      </c>
      <c r="K49" s="1">
        <v>-24.67878532409668</v>
      </c>
      <c r="M49" s="1">
        <v>399.69900512695313</v>
      </c>
      <c r="N49" s="1">
        <v>599.30096435546875</v>
      </c>
      <c r="O49" s="1">
        <v>584.85333251953125</v>
      </c>
    </row>
    <row r="50" spans="1:15">
      <c r="A50" s="1">
        <v>-14.531235694885254</v>
      </c>
      <c r="B50" s="1">
        <v>155.47946166992188</v>
      </c>
      <c r="C50" s="1">
        <v>-59.731410980224609</v>
      </c>
      <c r="E50" s="1">
        <v>-201.05740356445313</v>
      </c>
      <c r="F50" s="1">
        <v>-769.545166015625</v>
      </c>
      <c r="G50" s="1">
        <v>-1909.6485595703125</v>
      </c>
      <c r="I50" s="1">
        <v>107.59883117675781</v>
      </c>
      <c r="J50" s="1">
        <v>2088.03515625</v>
      </c>
      <c r="K50" s="1">
        <v>218.86990356445313</v>
      </c>
      <c r="M50" s="1">
        <v>346.9971923828125</v>
      </c>
      <c r="N50" s="1">
        <v>1168.2427978515625</v>
      </c>
      <c r="O50" s="1">
        <v>1087.9649658203125</v>
      </c>
    </row>
    <row r="51" spans="1:15">
      <c r="A51" s="1">
        <v>-576.9281005859375</v>
      </c>
      <c r="B51" s="1">
        <v>383.65655517578125</v>
      </c>
      <c r="C51" s="1">
        <v>-343.64852905273438</v>
      </c>
      <c r="E51" s="1">
        <v>489.54937744140625</v>
      </c>
      <c r="F51" s="1">
        <v>-887.6162109375</v>
      </c>
      <c r="G51" s="1">
        <v>-1858.2515869140625</v>
      </c>
      <c r="I51" s="1">
        <v>137.07806396484375</v>
      </c>
      <c r="J51" s="1">
        <v>2387.675048828125</v>
      </c>
      <c r="K51" s="1">
        <v>280.9302978515625</v>
      </c>
      <c r="M51" s="1">
        <v>193.88914489746094</v>
      </c>
      <c r="N51" s="1">
        <v>783.8486328125</v>
      </c>
      <c r="O51" s="1">
        <v>952.5296630859375</v>
      </c>
    </row>
    <row r="52" spans="1:15">
      <c r="A52" s="1">
        <v>-1124.762451171875</v>
      </c>
      <c r="B52" s="1">
        <v>59.958667755126953</v>
      </c>
      <c r="C52" s="1">
        <v>-517.042236328125</v>
      </c>
      <c r="E52" s="1">
        <v>552.0858154296875</v>
      </c>
      <c r="F52" s="1">
        <v>-969.59356689453125</v>
      </c>
      <c r="G52" s="1">
        <v>-995.143798828125</v>
      </c>
      <c r="I52" s="1">
        <v>328.79946899414063</v>
      </c>
      <c r="J52" s="1">
        <v>2556.98291015625</v>
      </c>
      <c r="K52" s="1">
        <v>-248.53663635253906</v>
      </c>
      <c r="M52" s="1">
        <v>456.40609741210938</v>
      </c>
      <c r="N52" s="1">
        <v>139.59515380859375</v>
      </c>
      <c r="O52" s="1">
        <v>-817.2962646484375</v>
      </c>
    </row>
    <row r="53" spans="1:15">
      <c r="A53" s="1">
        <v>-1005.6436767578125</v>
      </c>
      <c r="B53" s="1">
        <v>-191.66891479492188</v>
      </c>
      <c r="C53" s="1">
        <v>-546.1390380859375</v>
      </c>
      <c r="E53" s="1">
        <v>-318.36212158203125</v>
      </c>
      <c r="F53" s="1">
        <v>-832.12554931640625</v>
      </c>
      <c r="G53" s="1">
        <v>-686.34844970703125</v>
      </c>
      <c r="I53" s="1">
        <v>319.5989990234375</v>
      </c>
      <c r="J53" s="1">
        <v>2725.56787109375</v>
      </c>
      <c r="K53" s="1">
        <v>-478.52310180664063</v>
      </c>
      <c r="M53" s="1">
        <v>287.62615966796875</v>
      </c>
      <c r="N53" s="1">
        <v>-93.095863342285156</v>
      </c>
      <c r="O53" s="1">
        <v>-936.3253173828125</v>
      </c>
    </row>
    <row r="54" spans="1:15">
      <c r="A54" s="1">
        <v>-714.17327880859375</v>
      </c>
      <c r="B54" s="1">
        <v>152.7738037109375</v>
      </c>
      <c r="C54" s="1">
        <v>-473.41552734375</v>
      </c>
      <c r="E54" s="1">
        <v>-1446.88818359375</v>
      </c>
      <c r="F54" s="1">
        <v>-149.37631225585938</v>
      </c>
      <c r="G54" s="1">
        <v>-883.6156005859375</v>
      </c>
      <c r="I54" s="1">
        <v>243.3204345703125</v>
      </c>
      <c r="J54" s="1">
        <v>3140.410888671875</v>
      </c>
      <c r="K54" s="1">
        <v>-458.73614501953125</v>
      </c>
      <c r="M54" s="1">
        <v>151.61184692382813</v>
      </c>
      <c r="N54" s="1">
        <v>103.70531463623047</v>
      </c>
      <c r="O54" s="1">
        <v>-377.36212158203125</v>
      </c>
    </row>
    <row r="55" spans="1:15">
      <c r="A55" s="1">
        <v>-383.74984741210938</v>
      </c>
      <c r="B55" s="1">
        <v>-65.916275024414063</v>
      </c>
      <c r="C55" s="1">
        <v>-465.5279541015625</v>
      </c>
      <c r="E55" s="1">
        <v>-1675.0313720703125</v>
      </c>
      <c r="F55" s="1">
        <v>-45.931751251220703</v>
      </c>
      <c r="G55" s="1">
        <v>-894.10150146484375</v>
      </c>
      <c r="I55" s="1">
        <v>135.75668334960938</v>
      </c>
      <c r="J55" s="1">
        <v>3593.08984375</v>
      </c>
      <c r="K55" s="1">
        <v>-504.74603271484375</v>
      </c>
      <c r="M55" s="1">
        <v>97.4569091796875</v>
      </c>
      <c r="N55" s="1">
        <v>-19.399753570556641</v>
      </c>
      <c r="O55" s="1">
        <v>-316.63336181640625</v>
      </c>
    </row>
    <row r="56" spans="1:15">
      <c r="A56" s="1">
        <v>20.794721603393555</v>
      </c>
      <c r="B56" s="1">
        <v>-244.19229125976563</v>
      </c>
      <c r="C56" s="1">
        <v>-99.984146118164063</v>
      </c>
      <c r="E56" s="1">
        <v>-1563.7215576171875</v>
      </c>
      <c r="F56" s="1">
        <v>-171.56532287597656</v>
      </c>
      <c r="G56" s="1">
        <v>-766.86090087890625</v>
      </c>
      <c r="I56" s="1">
        <v>46.423412322998047</v>
      </c>
      <c r="J56" s="1">
        <v>3433.460205078125</v>
      </c>
      <c r="K56" s="1">
        <v>-453.85751342773438</v>
      </c>
      <c r="M56" s="1">
        <v>-130.87771606445313</v>
      </c>
      <c r="N56" s="1">
        <v>-191.55169677734375</v>
      </c>
      <c r="O56" s="1">
        <v>-69.060813903808594</v>
      </c>
    </row>
    <row r="57" spans="1:15">
      <c r="A57" s="1">
        <v>313.90179443359375</v>
      </c>
      <c r="B57" s="1">
        <v>-58.093318939208984</v>
      </c>
      <c r="C57" s="1">
        <v>353.63778686523438</v>
      </c>
      <c r="E57" s="1">
        <v>-1907.26318359375</v>
      </c>
      <c r="F57" s="1">
        <v>-94.987945556640625</v>
      </c>
      <c r="G57" s="1">
        <v>-684.9718017578125</v>
      </c>
      <c r="I57" s="1">
        <v>-394.95281982421875</v>
      </c>
      <c r="J57" s="1">
        <v>3531.55322265625</v>
      </c>
      <c r="K57" s="1">
        <v>175.42945861816406</v>
      </c>
      <c r="M57" s="1">
        <v>-267.22015380859375</v>
      </c>
      <c r="N57" s="1">
        <v>-711.29742431640625</v>
      </c>
      <c r="O57" s="1">
        <v>244.98046875</v>
      </c>
    </row>
    <row r="58" spans="1:15">
      <c r="A58" s="1">
        <v>509.62994384765625</v>
      </c>
      <c r="B58" s="1">
        <v>317.25564575195313</v>
      </c>
      <c r="C58" s="1">
        <v>354.18942260742188</v>
      </c>
      <c r="E58" s="1">
        <v>-2182.297119140625</v>
      </c>
      <c r="F58" s="1">
        <v>420.23004150390625</v>
      </c>
      <c r="G58" s="1">
        <v>-394.47332763671875</v>
      </c>
      <c r="I58" s="1">
        <v>-555.77044677734375</v>
      </c>
      <c r="J58" s="1">
        <v>4203.81396484375</v>
      </c>
      <c r="K58" s="1">
        <v>204.9703369140625</v>
      </c>
      <c r="M58" s="1">
        <v>-502.06259155273438</v>
      </c>
      <c r="N58" s="1">
        <v>-942.9571533203125</v>
      </c>
      <c r="O58" s="1">
        <v>680.201416015625</v>
      </c>
    </row>
    <row r="59" spans="1:15">
      <c r="A59" s="1">
        <v>518.43231201171875</v>
      </c>
      <c r="B59" s="1">
        <v>183.51087951660156</v>
      </c>
      <c r="C59" s="1">
        <v>381.51449584960938</v>
      </c>
      <c r="E59" s="1">
        <v>-2058.979248046875</v>
      </c>
      <c r="F59" s="1">
        <v>475.44805908203125</v>
      </c>
      <c r="G59" s="1">
        <v>327.173583984375</v>
      </c>
      <c r="I59" s="1">
        <v>61.865001678466797</v>
      </c>
      <c r="J59" s="1">
        <v>4349.0205078125</v>
      </c>
      <c r="K59" s="1">
        <v>260.90182495117188</v>
      </c>
      <c r="M59" s="1">
        <v>-444.319091796875</v>
      </c>
      <c r="N59" s="1">
        <v>-620.921630859375</v>
      </c>
      <c r="O59" s="1">
        <v>1407.52392578125</v>
      </c>
    </row>
    <row r="60" spans="1:15">
      <c r="A60" s="1">
        <v>860.41827392578125</v>
      </c>
      <c r="B60" s="1">
        <v>27.47705078125</v>
      </c>
      <c r="C60" s="1">
        <v>316.07391357421875</v>
      </c>
      <c r="E60" s="1">
        <v>-2193.62255859375</v>
      </c>
      <c r="F60" s="1">
        <v>315.29885864257813</v>
      </c>
      <c r="G60" s="1">
        <v>358.31268310546875</v>
      </c>
      <c r="I60" s="1">
        <v>220.00437927246094</v>
      </c>
      <c r="J60" s="1">
        <v>4550.52734375</v>
      </c>
      <c r="K60" s="1">
        <v>497.05206298828125</v>
      </c>
      <c r="M60" s="1">
        <v>4.1119241714477539</v>
      </c>
      <c r="N60" s="1">
        <v>-31.80792236328125</v>
      </c>
      <c r="O60" s="1">
        <v>2190.408935546875</v>
      </c>
    </row>
    <row r="61" spans="1:15">
      <c r="A61" s="1">
        <v>1378.544921875</v>
      </c>
      <c r="B61" s="1">
        <v>63.755718231201172</v>
      </c>
      <c r="C61" s="1">
        <v>399.85211181640625</v>
      </c>
      <c r="E61" s="1">
        <v>-1890.265869140625</v>
      </c>
      <c r="F61" s="1">
        <v>206.07154846191406</v>
      </c>
      <c r="G61" s="1">
        <v>403.6236572265625</v>
      </c>
      <c r="I61" s="1">
        <v>265.82345581054688</v>
      </c>
      <c r="J61" s="1">
        <v>5464.1630859375</v>
      </c>
      <c r="K61" s="1">
        <v>476.17108154296875</v>
      </c>
      <c r="M61" s="1">
        <v>639.26947021484375</v>
      </c>
      <c r="N61" s="1">
        <v>278.92294311523438</v>
      </c>
      <c r="O61" s="1">
        <v>2853.5595703125</v>
      </c>
    </row>
    <row r="62" spans="1:15">
      <c r="A62" s="1">
        <v>1937.9097900390625</v>
      </c>
      <c r="B62" s="1">
        <v>-231.87187194824219</v>
      </c>
      <c r="C62" s="1">
        <v>259.62249755859375</v>
      </c>
      <c r="E62" s="1">
        <v>-1350.8074951171875</v>
      </c>
      <c r="F62" s="1">
        <v>197.02391052246094</v>
      </c>
      <c r="G62" s="1">
        <v>641.28619384765625</v>
      </c>
      <c r="I62" s="1">
        <v>313.38079833984375</v>
      </c>
      <c r="J62" s="1">
        <v>6021.97900390625</v>
      </c>
      <c r="K62" s="1">
        <v>700.67681884765625</v>
      </c>
      <c r="M62" s="1">
        <v>1611.114501953125</v>
      </c>
      <c r="N62" s="1">
        <v>964.19287109375</v>
      </c>
      <c r="O62" s="1">
        <v>3651.030517578125</v>
      </c>
    </row>
    <row r="63" spans="1:15">
      <c r="A63" s="1">
        <v>2341.536376953125</v>
      </c>
      <c r="B63" s="1">
        <v>-311.39007568359375</v>
      </c>
      <c r="C63" s="1">
        <v>-3.607135534286499</v>
      </c>
      <c r="E63" s="1">
        <v>-659.00543212890625</v>
      </c>
      <c r="F63" s="1">
        <v>201.05441284179688</v>
      </c>
      <c r="G63" s="1">
        <v>681.44873046875</v>
      </c>
      <c r="I63" s="1">
        <v>578.41082763671875</v>
      </c>
      <c r="J63" s="1">
        <v>6198.09130859375</v>
      </c>
      <c r="K63" s="1">
        <v>803.2137451171875</v>
      </c>
      <c r="M63" s="1">
        <v>3441.842529296875</v>
      </c>
      <c r="N63" s="1">
        <v>1605.6268310546875</v>
      </c>
      <c r="O63" s="1">
        <v>5674.96240234375</v>
      </c>
    </row>
    <row r="64" spans="1:15">
      <c r="A64" s="1">
        <v>2723.889404296875</v>
      </c>
      <c r="B64" s="1">
        <v>-338.91610717773438</v>
      </c>
      <c r="C64" s="1">
        <v>65.928863525390625</v>
      </c>
      <c r="E64" s="1">
        <v>-145.89869689941406</v>
      </c>
      <c r="F64" s="1">
        <v>-225.87603759765625</v>
      </c>
      <c r="G64" s="1">
        <v>681.1737060546875</v>
      </c>
      <c r="I64" s="1">
        <v>641.7532958984375</v>
      </c>
      <c r="J64" s="1">
        <v>6083.2001953125</v>
      </c>
      <c r="K64" s="1">
        <v>1113.051513671875</v>
      </c>
      <c r="M64" s="1">
        <v>6078.71875</v>
      </c>
      <c r="N64" s="1">
        <v>3564.935791015625</v>
      </c>
      <c r="O64" s="1">
        <v>8894.06640625</v>
      </c>
    </row>
    <row r="65" spans="1:15">
      <c r="A65" s="1">
        <v>3136.53173828125</v>
      </c>
      <c r="B65" s="1">
        <v>-137.44993591308594</v>
      </c>
      <c r="C65" s="1">
        <v>967.94140625</v>
      </c>
      <c r="E65" s="1">
        <v>373.23150634765625</v>
      </c>
      <c r="F65" s="1">
        <v>-121.57991027832031</v>
      </c>
      <c r="G65" s="1">
        <v>588.42999267578125</v>
      </c>
      <c r="I65" s="1">
        <v>414.0606689453125</v>
      </c>
      <c r="J65" s="1">
        <v>6123.0625</v>
      </c>
      <c r="K65" s="1">
        <v>193.24473571777344</v>
      </c>
      <c r="M65" s="1">
        <v>11405.2353515625</v>
      </c>
      <c r="N65" s="1">
        <v>7557.50244140625</v>
      </c>
      <c r="O65" s="1">
        <v>13625.607421875</v>
      </c>
    </row>
    <row r="66" spans="1:15">
      <c r="A66" s="1">
        <v>3508.939453125</v>
      </c>
      <c r="B66" s="1">
        <v>820.2271728515625</v>
      </c>
      <c r="C66" s="1">
        <v>1193.4696044921875</v>
      </c>
      <c r="E66" s="1">
        <v>918.8695068359375</v>
      </c>
      <c r="F66" s="1">
        <v>544.3099365234375</v>
      </c>
      <c r="G66" s="1">
        <v>630.139404296875</v>
      </c>
      <c r="I66" s="1">
        <v>429.0867919921875</v>
      </c>
      <c r="J66" s="1">
        <v>6615.8583984375</v>
      </c>
      <c r="K66" s="1">
        <v>29.902790069580078</v>
      </c>
      <c r="M66" s="1">
        <v>21962.876953125</v>
      </c>
      <c r="N66" s="1">
        <v>15394.2958984375</v>
      </c>
      <c r="O66" s="1">
        <v>22972.7890625</v>
      </c>
    </row>
    <row r="67" spans="1:15">
      <c r="A67" s="1">
        <v>4338.99560546875</v>
      </c>
      <c r="B67" s="1">
        <v>1378.146484375</v>
      </c>
      <c r="C67" s="1">
        <v>1487.497802734375</v>
      </c>
      <c r="E67" s="1">
        <v>1623.835693359375</v>
      </c>
      <c r="F67" s="1">
        <v>96.934211730957031</v>
      </c>
      <c r="G67" s="1">
        <v>521.42694091796875</v>
      </c>
      <c r="I67" s="1">
        <v>77.101165771484375</v>
      </c>
      <c r="J67" s="1">
        <v>6877.26025390625</v>
      </c>
      <c r="K67" s="1">
        <v>987.88897705078125</v>
      </c>
      <c r="M67" s="1">
        <v>40813.03515625</v>
      </c>
      <c r="N67" s="1">
        <v>29573.26171875</v>
      </c>
      <c r="O67" s="1">
        <v>40621.85546875</v>
      </c>
    </row>
    <row r="68" spans="1:15">
      <c r="A68" s="1">
        <v>6915.35302734375</v>
      </c>
      <c r="B68" s="1">
        <v>2970.589111328125</v>
      </c>
      <c r="C68" s="1">
        <v>2798.36181640625</v>
      </c>
      <c r="E68" s="1">
        <v>1808.4658203125</v>
      </c>
      <c r="F68" s="1">
        <v>22.300643920898438</v>
      </c>
      <c r="G68" s="1">
        <v>-200.8480224609375</v>
      </c>
      <c r="I68" s="1">
        <v>-140.35321044921875</v>
      </c>
      <c r="J68" s="1">
        <v>6862.99365234375</v>
      </c>
      <c r="K68" s="1">
        <v>1380.5469970703125</v>
      </c>
      <c r="M68" s="1">
        <v>73804.875</v>
      </c>
      <c r="N68" s="1">
        <v>54143.75</v>
      </c>
      <c r="O68" s="1">
        <v>70611.828125</v>
      </c>
    </row>
    <row r="69" spans="1:15">
      <c r="A69" s="1">
        <v>10045.2060546875</v>
      </c>
      <c r="B69" s="1">
        <v>7333.89111328125</v>
      </c>
      <c r="C69" s="1">
        <v>4851.74169921875</v>
      </c>
      <c r="E69" s="1">
        <v>2131.119384765625</v>
      </c>
      <c r="F69" s="1">
        <v>194.03427124023438</v>
      </c>
      <c r="G69" s="1">
        <v>-117.56050109863281</v>
      </c>
      <c r="I69" s="1">
        <v>422.30181884765625</v>
      </c>
      <c r="J69" s="1">
        <v>7052.6689453125</v>
      </c>
      <c r="K69" s="1">
        <v>1552.412109375</v>
      </c>
      <c r="M69" s="1">
        <v>127443.7265625</v>
      </c>
      <c r="N69" s="1">
        <v>95892.90625</v>
      </c>
      <c r="O69" s="1">
        <v>120490.8359375</v>
      </c>
    </row>
    <row r="70" spans="1:15">
      <c r="A70" s="1">
        <v>14978.5830078125</v>
      </c>
      <c r="B70" s="1">
        <v>14593.748046875</v>
      </c>
      <c r="C70" s="1">
        <v>9112.62109375</v>
      </c>
      <c r="E70" s="1">
        <v>2328.179443359375</v>
      </c>
      <c r="F70" s="1">
        <v>-170.60711669921875</v>
      </c>
      <c r="G70" s="1">
        <v>414.03952026367188</v>
      </c>
      <c r="I70" s="1">
        <v>783.152099609375</v>
      </c>
      <c r="J70" s="1">
        <v>7961.06640625</v>
      </c>
      <c r="K70" s="1">
        <v>1070.6873779296875</v>
      </c>
      <c r="M70" s="1">
        <v>201438.765625</v>
      </c>
      <c r="N70" s="1">
        <v>154289.59375</v>
      </c>
      <c r="O70" s="1">
        <v>189267.140625</v>
      </c>
    </row>
    <row r="71" spans="1:15">
      <c r="A71" s="1">
        <v>23536.072265625</v>
      </c>
      <c r="B71" s="1">
        <v>29142.11328125</v>
      </c>
      <c r="C71" s="1">
        <v>17825.650390625</v>
      </c>
      <c r="E71" s="1">
        <v>2512.0439453125</v>
      </c>
      <c r="F71" s="1">
        <v>-19.060991287231445</v>
      </c>
      <c r="G71" s="1">
        <v>578.35052490234375</v>
      </c>
      <c r="I71" s="1">
        <v>1087.93994140625</v>
      </c>
      <c r="J71" s="1">
        <v>8427.3544921875</v>
      </c>
      <c r="K71" s="1">
        <v>738.732177734375</v>
      </c>
      <c r="M71" s="1">
        <v>283350.71875</v>
      </c>
      <c r="N71" s="1">
        <v>221594.796875</v>
      </c>
      <c r="O71" s="1">
        <v>267609.6875</v>
      </c>
    </row>
    <row r="72" spans="1:15">
      <c r="A72" s="1">
        <v>35203.5703125</v>
      </c>
      <c r="B72" s="1">
        <v>46854.0703125</v>
      </c>
      <c r="C72" s="1">
        <v>28599.654296875</v>
      </c>
      <c r="E72" s="1">
        <v>3011.845947265625</v>
      </c>
      <c r="F72" s="1">
        <v>795.211669921875</v>
      </c>
      <c r="G72" s="1">
        <v>736.86456298828125</v>
      </c>
      <c r="I72" s="1">
        <v>1604.591064453125</v>
      </c>
      <c r="J72" s="1">
        <v>8972.083984375</v>
      </c>
      <c r="K72" s="1">
        <v>589.23004150390625</v>
      </c>
      <c r="M72" s="1">
        <v>351574.4375</v>
      </c>
      <c r="N72" s="1">
        <v>278483.6875</v>
      </c>
      <c r="O72" s="1">
        <v>332946.5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tabSelected="1" topLeftCell="A25" workbookViewId="0">
      <selection activeCell="U40" sqref="U40"/>
    </sheetView>
  </sheetViews>
  <sheetFormatPr defaultRowHeight="15"/>
  <cols>
    <col min="20" max="22" width="9.85546875" bestFit="1" customWidth="1"/>
    <col min="24" max="24" width="9.85546875" bestFit="1" customWidth="1"/>
    <col min="26" max="26" width="9.85546875" bestFit="1" customWidth="1"/>
  </cols>
  <sheetData>
    <row r="1" spans="1:26">
      <c r="A1" s="1">
        <v>-1807.7945556640625</v>
      </c>
      <c r="B1" s="1">
        <v>-1404.6365966796875</v>
      </c>
      <c r="C1" s="1">
        <v>5026.4140625</v>
      </c>
      <c r="E1" s="1">
        <v>-325.1038818359375</v>
      </c>
      <c r="F1" s="1">
        <v>-2957.524169921875</v>
      </c>
      <c r="G1" s="1">
        <v>-1899.11181640625</v>
      </c>
      <c r="I1" s="1">
        <v>-16904.576171875</v>
      </c>
      <c r="J1" s="1">
        <v>575.13421630859375</v>
      </c>
      <c r="K1" s="1">
        <v>-1796.7271728515625</v>
      </c>
      <c r="M1" s="1">
        <v>-3280.805908203125</v>
      </c>
      <c r="N1" s="1">
        <v>-6604.2041015625</v>
      </c>
      <c r="O1" s="1">
        <v>-73.858818054199219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</row>
    <row r="2" spans="1:26">
      <c r="A2" s="1">
        <v>-1398.0130615234375</v>
      </c>
      <c r="B2" s="1">
        <v>-1068.9456787109375</v>
      </c>
      <c r="C2" s="1">
        <v>1537.0899658203125</v>
      </c>
      <c r="E2" s="1">
        <v>53.853569030761719</v>
      </c>
      <c r="F2" s="1">
        <v>-2258.27587890625</v>
      </c>
      <c r="G2" s="1">
        <v>-1316.33349609375</v>
      </c>
      <c r="I2" s="1">
        <v>-9215.2587890625</v>
      </c>
      <c r="J2" s="1">
        <v>489.641845703125</v>
      </c>
      <c r="K2" s="1">
        <v>-1258.5958251953125</v>
      </c>
      <c r="M2" s="1">
        <v>5029.41162109375</v>
      </c>
      <c r="N2" s="1">
        <v>-6109.40087890625</v>
      </c>
      <c r="O2" s="1">
        <v>57.345981597900391</v>
      </c>
      <c r="R2" s="3">
        <v>1</v>
      </c>
      <c r="S2" s="1">
        <f>AVERAGE(A1:C1)</f>
        <v>604.66097005208337</v>
      </c>
      <c r="T2" s="1">
        <f>AVERAGE(E1:G1)</f>
        <v>-1727.2466227213542</v>
      </c>
      <c r="U2" s="1">
        <f>AVERAGE(I1:K1)</f>
        <v>-6042.0563761393232</v>
      </c>
      <c r="V2" s="1">
        <f>AVERAGE(M1:O1)</f>
        <v>-3319.6229426066079</v>
      </c>
      <c r="W2">
        <f>AVERAGEA(A38:C38)</f>
        <v>1795.7202555338542</v>
      </c>
      <c r="X2" s="1">
        <f>AVERAGE(E38:G38)</f>
        <v>-2612.7657877604165</v>
      </c>
      <c r="Y2" s="1">
        <f>AVERAGE(I38:K38)</f>
        <v>579.71540323893225</v>
      </c>
      <c r="Z2" s="1">
        <f>AVERAGE(M38:O38)</f>
        <v>-2524.9661458333335</v>
      </c>
    </row>
    <row r="3" spans="1:26">
      <c r="A3" s="1">
        <v>-493.45806884765625</v>
      </c>
      <c r="B3" s="1">
        <v>-827.3134765625</v>
      </c>
      <c r="C3" s="1">
        <v>-45.367012023925781</v>
      </c>
      <c r="E3" s="1">
        <v>-9.4741315841674805</v>
      </c>
      <c r="F3" s="1">
        <v>647.31610107421875</v>
      </c>
      <c r="G3" s="1">
        <v>-426.6881103515625</v>
      </c>
      <c r="I3" s="1">
        <v>13.309523582458496</v>
      </c>
      <c r="J3" s="1">
        <v>322.39361572265625</v>
      </c>
      <c r="K3" s="1">
        <v>-442.37841796875</v>
      </c>
      <c r="M3" s="1">
        <v>6048.63720703125</v>
      </c>
      <c r="N3" s="1">
        <v>-1002.629150390625</v>
      </c>
      <c r="O3" s="1">
        <v>-238.78515625</v>
      </c>
      <c r="R3" s="3">
        <v>2</v>
      </c>
      <c r="S3" s="1">
        <f>AVERAGE(A2:C2)</f>
        <v>-309.95625813802081</v>
      </c>
      <c r="T3" s="1">
        <f>AVERAGE(E2:G2)</f>
        <v>-1173.5852686564128</v>
      </c>
      <c r="U3" s="1">
        <f>AVERAGE(I2:K2)</f>
        <v>-3328.0709228515625</v>
      </c>
      <c r="V3" s="1">
        <f>AVERAGE(M2:O2)</f>
        <v>-340.8810920715332</v>
      </c>
      <c r="W3" s="1">
        <f>AVERAGE(A39:C39)</f>
        <v>2414.9029642740884</v>
      </c>
      <c r="X3" s="1">
        <f>AVERAGE(E39:G39)</f>
        <v>-2142.2237141927085</v>
      </c>
      <c r="Y3" s="1">
        <f>AVERAGE(I39:K39)</f>
        <v>619.2122802734375</v>
      </c>
      <c r="Z3" s="1">
        <f>AVERAGE(M39:O39)</f>
        <v>-2729.428670247396</v>
      </c>
    </row>
    <row r="4" spans="1:26">
      <c r="A4" s="1">
        <v>305.01873779296875</v>
      </c>
      <c r="B4" s="1">
        <v>275.35784912109375</v>
      </c>
      <c r="C4" s="1">
        <v>523.367431640625</v>
      </c>
      <c r="E4" s="1">
        <v>-314.70416259765625</v>
      </c>
      <c r="F4" s="1">
        <v>772.5604248046875</v>
      </c>
      <c r="G4" s="1">
        <v>642.42218017578125</v>
      </c>
      <c r="I4" s="1">
        <v>-1416.49755859375</v>
      </c>
      <c r="J4" s="1">
        <v>263.6258544921875</v>
      </c>
      <c r="K4" s="1">
        <v>-85.489151000976563</v>
      </c>
      <c r="M4" s="1">
        <v>-178.34819030761719</v>
      </c>
      <c r="N4" s="1">
        <v>74.713020324707031</v>
      </c>
      <c r="O4" s="1">
        <v>23.114955902099609</v>
      </c>
      <c r="R4" s="3">
        <v>3</v>
      </c>
      <c r="S4" s="1">
        <f t="shared" ref="S4:S36" si="0">AVERAGE(A3:C3)</f>
        <v>-455.37951914469403</v>
      </c>
      <c r="T4" s="1">
        <f t="shared" ref="T4:T36" si="1">AVERAGE(E3:G3)</f>
        <v>70.38461971282959</v>
      </c>
      <c r="U4" s="1">
        <f t="shared" ref="U4:U36" si="2">AVERAGE(I3:K3)</f>
        <v>-35.558426221211754</v>
      </c>
      <c r="V4" s="1">
        <f t="shared" ref="V4:V36" si="3">AVERAGE(M3:O3)</f>
        <v>1602.4076334635417</v>
      </c>
      <c r="W4">
        <f t="shared" ref="W4" si="4">AVERAGEA(A40:C40)</f>
        <v>2774.5164591471353</v>
      </c>
      <c r="X4" s="1">
        <f t="shared" ref="X4:X36" si="5">AVERAGE(E40:G40)</f>
        <v>-1707.7442067464192</v>
      </c>
      <c r="Y4" s="1">
        <f t="shared" ref="Y4:Y36" si="6">AVERAGE(I40:K40)</f>
        <v>540.2235209147135</v>
      </c>
      <c r="Z4" s="1">
        <f t="shared" ref="Z4:Z36" si="7">AVERAGE(M40:O40)</f>
        <v>-1625.6348063151042</v>
      </c>
    </row>
    <row r="5" spans="1:26">
      <c r="A5" s="1">
        <v>-64.785675048828125</v>
      </c>
      <c r="B5" s="1">
        <v>563.2440185546875</v>
      </c>
      <c r="C5" s="1">
        <v>253.67218017578125</v>
      </c>
      <c r="E5" s="1">
        <v>-449.90103149414063</v>
      </c>
      <c r="F5" s="1">
        <v>-1066.4530029296875</v>
      </c>
      <c r="G5" s="1">
        <v>299.477783203125</v>
      </c>
      <c r="I5" s="1">
        <v>-1742.0548095703125</v>
      </c>
      <c r="J5" s="1">
        <v>446.54754638671875</v>
      </c>
      <c r="K5" s="1">
        <v>23.286815643310547</v>
      </c>
      <c r="M5" s="1">
        <v>-1596.2711181640625</v>
      </c>
      <c r="N5" s="1">
        <v>399.43020629882813</v>
      </c>
      <c r="O5" s="1">
        <v>347.28070068359375</v>
      </c>
      <c r="R5" s="3">
        <v>4</v>
      </c>
      <c r="S5" s="1">
        <f t="shared" si="0"/>
        <v>367.9146728515625</v>
      </c>
      <c r="T5" s="1">
        <f t="shared" si="1"/>
        <v>366.75948079427081</v>
      </c>
      <c r="U5" s="1">
        <f t="shared" si="2"/>
        <v>-412.78695170084637</v>
      </c>
      <c r="V5" s="1">
        <f t="shared" si="3"/>
        <v>-26.840071360270183</v>
      </c>
      <c r="W5" s="1">
        <f t="shared" ref="W5" si="8">AVERAGE(A41:C41)</f>
        <v>2647.212198893229</v>
      </c>
      <c r="X5" s="1">
        <f t="shared" si="5"/>
        <v>-1094.4586791992188</v>
      </c>
      <c r="Y5" s="1">
        <f t="shared" si="6"/>
        <v>307.70286051432294</v>
      </c>
      <c r="Z5" s="1">
        <f t="shared" si="7"/>
        <v>-1113.7977905273438</v>
      </c>
    </row>
    <row r="6" spans="1:26">
      <c r="A6" s="1">
        <v>-185.92994689941406</v>
      </c>
      <c r="B6" s="1">
        <v>184.53640747070313</v>
      </c>
      <c r="C6" s="1">
        <v>-502.5465087890625</v>
      </c>
      <c r="E6" s="1">
        <v>321.84548950195313</v>
      </c>
      <c r="F6" s="1">
        <v>-1190.4117431640625</v>
      </c>
      <c r="G6" s="1">
        <v>-330.17364501953125</v>
      </c>
      <c r="I6" s="1">
        <v>4929.88818359375</v>
      </c>
      <c r="J6" s="1">
        <v>471.77392578125</v>
      </c>
      <c r="K6" s="1">
        <v>391.93386840820313</v>
      </c>
      <c r="M6" s="1">
        <v>-1547.7720947265625</v>
      </c>
      <c r="N6" s="1">
        <v>933.53802490234375</v>
      </c>
      <c r="O6" s="1">
        <v>262.90737915039063</v>
      </c>
      <c r="R6" s="3">
        <v>5</v>
      </c>
      <c r="S6" s="1">
        <f t="shared" si="0"/>
        <v>250.71017456054688</v>
      </c>
      <c r="T6" s="1">
        <f t="shared" si="1"/>
        <v>-405.62541707356769</v>
      </c>
      <c r="U6" s="1">
        <f t="shared" si="2"/>
        <v>-424.07348251342773</v>
      </c>
      <c r="V6" s="1">
        <f t="shared" si="3"/>
        <v>-283.18673706054688</v>
      </c>
      <c r="W6">
        <f t="shared" ref="W6" si="9">AVERAGEA(A42:C42)</f>
        <v>1663.7020416259766</v>
      </c>
      <c r="X6" s="1">
        <f t="shared" si="5"/>
        <v>-667.059824625651</v>
      </c>
      <c r="Y6" s="1">
        <f t="shared" si="6"/>
        <v>280.82509867350262</v>
      </c>
      <c r="Z6" s="1">
        <f t="shared" si="7"/>
        <v>-264.96216074625653</v>
      </c>
    </row>
    <row r="7" spans="1:26">
      <c r="A7" s="1">
        <v>-55.60546875</v>
      </c>
      <c r="B7" s="1">
        <v>20.485073089599609</v>
      </c>
      <c r="C7" s="1">
        <v>-530.53863525390625</v>
      </c>
      <c r="E7" s="1">
        <v>522.164306640625</v>
      </c>
      <c r="F7" s="1">
        <v>168.1217041015625</v>
      </c>
      <c r="G7" s="1">
        <v>-651.2664794921875</v>
      </c>
      <c r="I7" s="1">
        <v>965.8309326171875</v>
      </c>
      <c r="J7" s="1">
        <v>285.10772705078125</v>
      </c>
      <c r="K7" s="1">
        <v>152.80751037597656</v>
      </c>
      <c r="M7" s="1">
        <v>-1662.093505859375</v>
      </c>
      <c r="N7" s="1">
        <v>341.98959350585938</v>
      </c>
      <c r="O7" s="1">
        <v>-325.64566040039063</v>
      </c>
      <c r="R7" s="3">
        <v>6</v>
      </c>
      <c r="S7" s="1">
        <f t="shared" si="0"/>
        <v>-167.98001607259116</v>
      </c>
      <c r="T7" s="1">
        <f t="shared" si="1"/>
        <v>-399.57996622721356</v>
      </c>
      <c r="U7" s="1">
        <f t="shared" si="2"/>
        <v>1931.1986592610676</v>
      </c>
      <c r="V7" s="1">
        <f t="shared" si="3"/>
        <v>-117.10889689127605</v>
      </c>
      <c r="W7" s="1">
        <f t="shared" ref="W7" si="10">AVERAGE(A43:C43)</f>
        <v>758.16460927327478</v>
      </c>
      <c r="X7" s="1">
        <f t="shared" si="5"/>
        <v>-349.15192667643231</v>
      </c>
      <c r="Y7" s="1">
        <f t="shared" si="6"/>
        <v>147.83144124348959</v>
      </c>
      <c r="Z7" s="1">
        <f t="shared" si="7"/>
        <v>335.29534403483075</v>
      </c>
    </row>
    <row r="8" spans="1:26">
      <c r="A8" s="1">
        <v>752.695556640625</v>
      </c>
      <c r="B8" s="1">
        <v>250.87904357910156</v>
      </c>
      <c r="C8" s="1">
        <v>-128.44480895996094</v>
      </c>
      <c r="E8" s="1">
        <v>350.15103149414063</v>
      </c>
      <c r="F8" s="1">
        <v>168.98716735839844</v>
      </c>
      <c r="G8" s="1">
        <v>307.39846801757813</v>
      </c>
      <c r="I8" s="1">
        <v>-2750.47607421875</v>
      </c>
      <c r="J8" s="1">
        <v>155.03330993652344</v>
      </c>
      <c r="K8" s="1">
        <v>9.0795669555664063</v>
      </c>
      <c r="M8" s="1">
        <v>-2268.547607421875</v>
      </c>
      <c r="N8" s="1">
        <v>-19.886980056762695</v>
      </c>
      <c r="O8" s="1">
        <v>-209.41740417480469</v>
      </c>
      <c r="R8" s="3">
        <v>7</v>
      </c>
      <c r="S8" s="1">
        <f t="shared" si="0"/>
        <v>-188.55301030476889</v>
      </c>
      <c r="T8" s="1">
        <f t="shared" si="1"/>
        <v>13.006510416666666</v>
      </c>
      <c r="U8" s="1">
        <f t="shared" si="2"/>
        <v>467.91539001464844</v>
      </c>
      <c r="V8" s="1">
        <f t="shared" si="3"/>
        <v>-548.58319091796875</v>
      </c>
      <c r="W8">
        <f t="shared" ref="W8" si="11">AVERAGEA(A44:C44)</f>
        <v>-1080.6827182769775</v>
      </c>
      <c r="X8" s="1">
        <f t="shared" si="5"/>
        <v>459.34323183695477</v>
      </c>
      <c r="Y8" s="1">
        <f t="shared" si="6"/>
        <v>26.03830885887146</v>
      </c>
      <c r="Z8" s="1">
        <f t="shared" si="7"/>
        <v>247.64528656005859</v>
      </c>
    </row>
    <row r="9" spans="1:26">
      <c r="A9" s="1">
        <v>616.88336181640625</v>
      </c>
      <c r="B9" s="1">
        <v>21.468332290649414</v>
      </c>
      <c r="C9" s="1">
        <v>8.7935333251953125</v>
      </c>
      <c r="E9" s="1">
        <v>184.15927124023438</v>
      </c>
      <c r="F9" s="1">
        <v>84.997161865234375</v>
      </c>
      <c r="G9" s="1">
        <v>149.25877380371094</v>
      </c>
      <c r="I9" s="1">
        <v>-4586.283203125</v>
      </c>
      <c r="J9" s="1">
        <v>102.19914245605469</v>
      </c>
      <c r="K9" s="1">
        <v>-10.765557289123535</v>
      </c>
      <c r="M9" s="1">
        <v>-2109.322021484375</v>
      </c>
      <c r="N9" s="1">
        <v>-143.44322204589844</v>
      </c>
      <c r="O9" s="1">
        <v>140.54519653320313</v>
      </c>
      <c r="R9" s="3">
        <v>8</v>
      </c>
      <c r="S9" s="1">
        <f t="shared" si="0"/>
        <v>291.70993041992188</v>
      </c>
      <c r="T9" s="1">
        <f t="shared" si="1"/>
        <v>275.51222229003906</v>
      </c>
      <c r="U9" s="1">
        <f t="shared" si="2"/>
        <v>-862.12106577555335</v>
      </c>
      <c r="V9" s="1">
        <f t="shared" si="3"/>
        <v>-832.61733055114746</v>
      </c>
      <c r="W9" s="1">
        <f t="shared" ref="W9" si="12">AVERAGE(A45:C45)</f>
        <v>-1333.2814242045085</v>
      </c>
      <c r="X9" s="1">
        <f t="shared" si="5"/>
        <v>674.38006591796875</v>
      </c>
      <c r="Y9" s="1">
        <f t="shared" si="6"/>
        <v>-7.6975288391113281</v>
      </c>
      <c r="Z9" s="1">
        <f t="shared" si="7"/>
        <v>378.6488978068034</v>
      </c>
    </row>
    <row r="10" spans="1:26">
      <c r="A10" s="1">
        <v>-138.53437805175781</v>
      </c>
      <c r="B10" s="1">
        <v>-488.6572265625</v>
      </c>
      <c r="C10" s="1">
        <v>179.96546936035156</v>
      </c>
      <c r="E10" s="1">
        <v>-138.52781677246094</v>
      </c>
      <c r="F10" s="1">
        <v>414.88217163085938</v>
      </c>
      <c r="G10" s="1">
        <v>154.90420532226563</v>
      </c>
      <c r="I10" s="1">
        <v>-3122.590576171875</v>
      </c>
      <c r="J10" s="1">
        <v>87.355209350585938</v>
      </c>
      <c r="K10" s="1">
        <v>-102.97005462646484</v>
      </c>
      <c r="M10" s="1">
        <v>-849.58880615234375</v>
      </c>
      <c r="N10" s="1">
        <v>-587.64007568359375</v>
      </c>
      <c r="O10" s="1">
        <v>361.7421875</v>
      </c>
      <c r="R10" s="3">
        <v>9</v>
      </c>
      <c r="S10" s="1">
        <f t="shared" si="0"/>
        <v>215.71507581075033</v>
      </c>
      <c r="T10" s="1">
        <f t="shared" si="1"/>
        <v>139.47173563639322</v>
      </c>
      <c r="U10" s="1">
        <f t="shared" si="2"/>
        <v>-1498.2832059860229</v>
      </c>
      <c r="V10" s="1">
        <f t="shared" si="3"/>
        <v>-704.07334899902344</v>
      </c>
      <c r="W10">
        <f t="shared" ref="W10" si="13">AVERAGEA(A46:C46)</f>
        <v>-1053.9061009089153</v>
      </c>
      <c r="X10" s="1">
        <f t="shared" si="5"/>
        <v>737.47286860148108</v>
      </c>
      <c r="Y10" s="1">
        <f t="shared" si="6"/>
        <v>32.974510192871094</v>
      </c>
      <c r="Z10" s="1">
        <f t="shared" si="7"/>
        <v>454.16292317708331</v>
      </c>
    </row>
    <row r="11" spans="1:26">
      <c r="A11" s="1">
        <v>-736.28411865234375</v>
      </c>
      <c r="B11" s="1">
        <v>-689.81011962890625</v>
      </c>
      <c r="C11" s="1">
        <v>241.09835815429688</v>
      </c>
      <c r="E11" s="1">
        <v>-465.71292114257813</v>
      </c>
      <c r="F11" s="1">
        <v>1184.6070556640625</v>
      </c>
      <c r="G11" s="1">
        <v>-145.33316040039063</v>
      </c>
      <c r="I11" s="1">
        <v>-2185.147705078125</v>
      </c>
      <c r="J11" s="1">
        <v>42.472209930419922</v>
      </c>
      <c r="K11" s="1">
        <v>-286.975341796875</v>
      </c>
      <c r="M11" s="1">
        <v>157.68360900878906</v>
      </c>
      <c r="N11" s="1">
        <v>3.9286458492279053</v>
      </c>
      <c r="O11" s="1">
        <v>822.37664794921875</v>
      </c>
      <c r="R11" s="3">
        <v>10</v>
      </c>
      <c r="S11" s="1">
        <f t="shared" si="0"/>
        <v>-149.07537841796875</v>
      </c>
      <c r="T11" s="1">
        <f t="shared" si="1"/>
        <v>143.75285339355469</v>
      </c>
      <c r="U11" s="1">
        <f t="shared" si="2"/>
        <v>-1046.068473815918</v>
      </c>
      <c r="V11" s="1">
        <f t="shared" si="3"/>
        <v>-358.49556477864581</v>
      </c>
      <c r="W11" s="1">
        <f t="shared" ref="W11" si="14">AVERAGE(A47:C47)</f>
        <v>-1232.9148763020833</v>
      </c>
      <c r="X11" s="1">
        <f t="shared" si="5"/>
        <v>1148.2192993164063</v>
      </c>
      <c r="Y11" s="1">
        <f t="shared" si="6"/>
        <v>88.107806603113815</v>
      </c>
      <c r="Z11" s="1">
        <f t="shared" si="7"/>
        <v>613.57537333170569</v>
      </c>
    </row>
    <row r="12" spans="1:26">
      <c r="A12" s="1">
        <v>-85.061195373535156</v>
      </c>
      <c r="B12" s="1">
        <v>212.66587829589844</v>
      </c>
      <c r="C12" s="1">
        <v>379.98123168945313</v>
      </c>
      <c r="E12" s="1">
        <v>-320.4019775390625</v>
      </c>
      <c r="F12" s="1">
        <v>3076.226318359375</v>
      </c>
      <c r="G12" s="1">
        <v>567.796630859375</v>
      </c>
      <c r="I12" s="1">
        <v>-3531.704833984375</v>
      </c>
      <c r="J12" s="1">
        <v>29.889993667602539</v>
      </c>
      <c r="K12" s="1">
        <v>-290.16421508789063</v>
      </c>
      <c r="M12" s="1">
        <v>91.104438781738281</v>
      </c>
      <c r="N12" s="1">
        <v>197.73176574707031</v>
      </c>
      <c r="O12" s="1">
        <v>1137.3626708984375</v>
      </c>
      <c r="R12" s="3">
        <v>11</v>
      </c>
      <c r="S12" s="1">
        <f t="shared" si="0"/>
        <v>-394.99862670898438</v>
      </c>
      <c r="T12" s="1">
        <f t="shared" si="1"/>
        <v>191.18699137369791</v>
      </c>
      <c r="U12" s="1">
        <f t="shared" si="2"/>
        <v>-809.88361231485999</v>
      </c>
      <c r="V12" s="1">
        <f t="shared" si="3"/>
        <v>327.99630093574524</v>
      </c>
      <c r="W12">
        <f t="shared" ref="W12" si="15">AVERAGEA(A48:C48)</f>
        <v>-1219.6801859537761</v>
      </c>
      <c r="X12" s="1">
        <f t="shared" si="5"/>
        <v>1106.5960235595703</v>
      </c>
      <c r="Y12" s="1">
        <f t="shared" si="6"/>
        <v>-127.72666295369466</v>
      </c>
      <c r="Z12" s="1">
        <f t="shared" si="7"/>
        <v>659.30555725097656</v>
      </c>
    </row>
    <row r="13" spans="1:26">
      <c r="A13" s="1">
        <v>811.6695556640625</v>
      </c>
      <c r="B13" s="1">
        <v>500.27078247070313</v>
      </c>
      <c r="C13" s="1">
        <v>970.7196044921875</v>
      </c>
      <c r="E13" s="1">
        <v>-385.19647216796875</v>
      </c>
      <c r="F13" s="1">
        <v>3973.076171875</v>
      </c>
      <c r="G13" s="1">
        <v>1286.453857421875</v>
      </c>
      <c r="I13" s="1">
        <v>-5556.88671875</v>
      </c>
      <c r="J13" s="1">
        <v>-333.41683959960938</v>
      </c>
      <c r="K13" s="1">
        <v>-8.3335533142089844</v>
      </c>
      <c r="M13" s="1">
        <v>532.7362060546875</v>
      </c>
      <c r="N13" s="1">
        <v>1215.995849609375</v>
      </c>
      <c r="O13" s="1">
        <v>1605.0753173828125</v>
      </c>
      <c r="R13" s="3">
        <v>12</v>
      </c>
      <c r="S13" s="1">
        <f t="shared" si="0"/>
        <v>169.19530487060547</v>
      </c>
      <c r="T13" s="1">
        <f t="shared" si="1"/>
        <v>1107.8736572265625</v>
      </c>
      <c r="U13" s="1">
        <f t="shared" si="2"/>
        <v>-1263.993018468221</v>
      </c>
      <c r="V13" s="1">
        <f t="shared" si="3"/>
        <v>475.39962514241535</v>
      </c>
      <c r="W13" s="1">
        <f t="shared" ref="W13" si="16">AVERAGE(A49:C49)</f>
        <v>-916.07307942708337</v>
      </c>
      <c r="X13" s="1">
        <f t="shared" si="5"/>
        <v>1038.0234483083088</v>
      </c>
      <c r="Y13" s="1">
        <f t="shared" si="6"/>
        <v>-226.95045471191406</v>
      </c>
      <c r="Z13" s="1">
        <f t="shared" si="7"/>
        <v>633.43935139973962</v>
      </c>
    </row>
    <row r="14" spans="1:26">
      <c r="A14" s="1">
        <v>2830.243896484375</v>
      </c>
      <c r="B14" s="1">
        <v>2095.887451171875</v>
      </c>
      <c r="C14" s="1">
        <v>3204.0166015625</v>
      </c>
      <c r="E14" s="1">
        <v>630.788330078125</v>
      </c>
      <c r="F14" s="1">
        <v>6709.30517578125</v>
      </c>
      <c r="G14" s="1">
        <v>3412.884521484375</v>
      </c>
      <c r="I14" s="1">
        <v>-5248.69384765625</v>
      </c>
      <c r="J14" s="1">
        <v>-446.85061645507813</v>
      </c>
      <c r="K14" s="1">
        <v>119.37991333007813</v>
      </c>
      <c r="M14" s="1">
        <v>3381.781982421875</v>
      </c>
      <c r="N14" s="1">
        <v>3998.416259765625</v>
      </c>
      <c r="O14" s="1">
        <v>2728.717529296875</v>
      </c>
      <c r="R14" s="3">
        <v>13</v>
      </c>
      <c r="S14" s="1">
        <f t="shared" si="0"/>
        <v>760.88664754231775</v>
      </c>
      <c r="T14" s="1">
        <f t="shared" si="1"/>
        <v>1624.777852376302</v>
      </c>
      <c r="U14" s="1">
        <f t="shared" si="2"/>
        <v>-1966.2123705546062</v>
      </c>
      <c r="V14" s="1">
        <f t="shared" si="3"/>
        <v>1117.935791015625</v>
      </c>
      <c r="W14">
        <f t="shared" ref="W14" si="17">AVERAGEA(A50:C50)</f>
        <v>-1107.6235376993816</v>
      </c>
      <c r="X14" s="1">
        <f t="shared" si="5"/>
        <v>925.11233011881507</v>
      </c>
      <c r="Y14" s="1">
        <f t="shared" si="6"/>
        <v>-60.457128524780273</v>
      </c>
      <c r="Z14" s="1">
        <f t="shared" si="7"/>
        <v>555.789306640625</v>
      </c>
    </row>
    <row r="15" spans="1:26">
      <c r="A15" s="1">
        <v>6806.810546875</v>
      </c>
      <c r="B15" s="1">
        <v>6248.0234375</v>
      </c>
      <c r="C15" s="1">
        <v>6485.8291015625</v>
      </c>
      <c r="E15" s="1">
        <v>1963.091552734375</v>
      </c>
      <c r="F15" s="1">
        <v>10288.0927734375</v>
      </c>
      <c r="G15" s="1">
        <v>6892.19775390625</v>
      </c>
      <c r="I15" s="1">
        <v>-4754.1259765625</v>
      </c>
      <c r="J15" s="1">
        <v>-384.35861206054688</v>
      </c>
      <c r="K15" s="1">
        <v>491.4722900390625</v>
      </c>
      <c r="M15" s="1">
        <v>8559.6171875</v>
      </c>
      <c r="N15" s="1">
        <v>8590.7587890625</v>
      </c>
      <c r="O15" s="1">
        <v>7414.46142578125</v>
      </c>
      <c r="R15" s="3">
        <v>14</v>
      </c>
      <c r="S15" s="1">
        <f t="shared" si="0"/>
        <v>2710.04931640625</v>
      </c>
      <c r="T15" s="1">
        <f t="shared" si="1"/>
        <v>3584.3260091145835</v>
      </c>
      <c r="U15" s="1">
        <f t="shared" si="2"/>
        <v>-1858.7215169270833</v>
      </c>
      <c r="V15" s="1">
        <f t="shared" si="3"/>
        <v>3369.6385904947915</v>
      </c>
      <c r="W15" s="1">
        <f t="shared" ref="W15" si="18">AVERAGE(A51:C51)</f>
        <v>-1215.2130482991536</v>
      </c>
      <c r="X15" s="1">
        <f t="shared" si="5"/>
        <v>-194.27787780761719</v>
      </c>
      <c r="Y15" s="1">
        <f t="shared" si="6"/>
        <v>-519.16171264648438</v>
      </c>
      <c r="Z15" s="1">
        <f t="shared" si="7"/>
        <v>239.06374867757162</v>
      </c>
    </row>
    <row r="16" spans="1:26">
      <c r="A16" s="1">
        <v>15469.197265625</v>
      </c>
      <c r="B16" s="1">
        <v>13795.3984375</v>
      </c>
      <c r="C16" s="1">
        <v>12623.1025390625</v>
      </c>
      <c r="E16" s="1">
        <v>3604.13671875</v>
      </c>
      <c r="F16" s="1">
        <v>18054.43359375</v>
      </c>
      <c r="G16" s="1">
        <v>15875.70703125</v>
      </c>
      <c r="I16" s="1">
        <v>-5648.18310546875</v>
      </c>
      <c r="J16" s="1">
        <v>-434.32559204101563</v>
      </c>
      <c r="K16" s="1">
        <v>506.25607299804688</v>
      </c>
      <c r="M16" s="1">
        <v>14659.4912109375</v>
      </c>
      <c r="N16" s="1">
        <v>19303.490234375</v>
      </c>
      <c r="O16" s="1">
        <v>16881.673828125</v>
      </c>
      <c r="R16" s="3">
        <v>15</v>
      </c>
      <c r="S16" s="1">
        <f t="shared" si="0"/>
        <v>6513.554361979167</v>
      </c>
      <c r="T16" s="1">
        <f t="shared" si="1"/>
        <v>6381.127360026042</v>
      </c>
      <c r="U16" s="1">
        <f t="shared" si="2"/>
        <v>-1549.0040995279949</v>
      </c>
      <c r="V16" s="1">
        <f t="shared" si="3"/>
        <v>8188.279134114583</v>
      </c>
      <c r="W16">
        <f t="shared" ref="W16" si="19">AVERAGEA(A52:C52)</f>
        <v>-1316.2752939860027</v>
      </c>
      <c r="X16" s="1">
        <f t="shared" si="5"/>
        <v>-571.94809977213538</v>
      </c>
      <c r="Y16" s="1">
        <f t="shared" si="6"/>
        <v>-736.75661214192712</v>
      </c>
      <c r="Z16" s="1">
        <f t="shared" si="7"/>
        <v>88.3824462890625</v>
      </c>
    </row>
    <row r="17" spans="1:26">
      <c r="A17" s="1">
        <v>31471.427734375</v>
      </c>
      <c r="B17" s="1">
        <v>28309.4296875</v>
      </c>
      <c r="C17" s="1">
        <v>26164.466796875</v>
      </c>
      <c r="E17" s="1">
        <v>6224.24853515625</v>
      </c>
      <c r="F17" s="1">
        <v>35512.08984375</v>
      </c>
      <c r="G17" s="1">
        <v>31418.66015625</v>
      </c>
      <c r="I17" s="1">
        <v>-7978.740234375</v>
      </c>
      <c r="J17" s="1">
        <v>-562.13824462890625</v>
      </c>
      <c r="K17" s="1">
        <v>441.32501220703125</v>
      </c>
      <c r="M17" s="1">
        <v>25550.162109375</v>
      </c>
      <c r="N17" s="1">
        <v>39096.91015625</v>
      </c>
      <c r="O17" s="1">
        <v>32489.80859375</v>
      </c>
      <c r="R17" s="3">
        <v>16</v>
      </c>
      <c r="S17" s="1">
        <f t="shared" si="0"/>
        <v>13962.566080729166</v>
      </c>
      <c r="T17" s="1">
        <f t="shared" si="1"/>
        <v>12511.42578125</v>
      </c>
      <c r="U17" s="1">
        <f t="shared" si="2"/>
        <v>-1858.7508748372395</v>
      </c>
      <c r="V17" s="1">
        <f t="shared" si="3"/>
        <v>16948.218424479168</v>
      </c>
      <c r="W17" s="1">
        <f t="shared" ref="W17" si="20">AVERAGE(A53:C53)</f>
        <v>-1157.9676901499431</v>
      </c>
      <c r="X17" s="1">
        <f t="shared" si="5"/>
        <v>-526.3175150553385</v>
      </c>
      <c r="Y17" s="1">
        <f t="shared" si="6"/>
        <v>-519.84237670898438</v>
      </c>
      <c r="Z17" s="1">
        <f t="shared" si="7"/>
        <v>-2.5436172485351563</v>
      </c>
    </row>
    <row r="18" spans="1:26">
      <c r="A18" s="1">
        <v>60081.94921875</v>
      </c>
      <c r="B18" s="1">
        <v>54357.375</v>
      </c>
      <c r="C18" s="1">
        <v>49492.6484375</v>
      </c>
      <c r="E18" s="1">
        <v>9403.5361328125</v>
      </c>
      <c r="F18" s="1">
        <v>64811.390625</v>
      </c>
      <c r="G18" s="1">
        <v>59321.50390625</v>
      </c>
      <c r="I18" s="1">
        <v>-8841.6728515625</v>
      </c>
      <c r="J18" s="1">
        <v>-668.077880859375</v>
      </c>
      <c r="K18" s="1">
        <v>361.46817016601563</v>
      </c>
      <c r="M18" s="1">
        <v>40546.67578125</v>
      </c>
      <c r="N18" s="1">
        <v>73094.2265625</v>
      </c>
      <c r="O18" s="1">
        <v>61122.23828125</v>
      </c>
      <c r="R18" s="3">
        <v>17</v>
      </c>
      <c r="S18" s="1">
        <f t="shared" si="0"/>
        <v>28648.44140625</v>
      </c>
      <c r="T18" s="1">
        <f t="shared" si="1"/>
        <v>24384.99951171875</v>
      </c>
      <c r="U18" s="1">
        <f t="shared" si="2"/>
        <v>-2699.8511555989585</v>
      </c>
      <c r="V18" s="1">
        <f t="shared" si="3"/>
        <v>32378.960286458332</v>
      </c>
      <c r="W18">
        <f t="shared" ref="W18" si="21">AVERAGEA(A54:C54)</f>
        <v>-901.96735636393225</v>
      </c>
      <c r="X18" s="1">
        <f t="shared" si="5"/>
        <v>-355.45255533854169</v>
      </c>
      <c r="Y18" s="1">
        <f t="shared" si="6"/>
        <v>-189.83539136250815</v>
      </c>
      <c r="Z18" s="1">
        <f t="shared" si="7"/>
        <v>323.75164159138996</v>
      </c>
    </row>
    <row r="19" spans="1:26">
      <c r="A19" s="1">
        <v>108108.71875</v>
      </c>
      <c r="B19" s="1">
        <v>95522.9765625</v>
      </c>
      <c r="C19" s="1">
        <v>87215.0078125</v>
      </c>
      <c r="E19" s="1">
        <v>14341.9365234375</v>
      </c>
      <c r="F19" s="1">
        <v>111911.96875</v>
      </c>
      <c r="G19" s="1">
        <v>104813.609375</v>
      </c>
      <c r="I19" s="1">
        <v>-6524.35498046875</v>
      </c>
      <c r="J19" s="1">
        <v>-588.048828125</v>
      </c>
      <c r="K19" s="1">
        <v>8.3769512176513672</v>
      </c>
      <c r="M19" s="1">
        <v>56612.75390625</v>
      </c>
      <c r="N19" s="1">
        <v>124488.0625</v>
      </c>
      <c r="O19" s="1">
        <v>106963.4375</v>
      </c>
      <c r="R19" s="3">
        <v>18</v>
      </c>
      <c r="S19" s="1">
        <f t="shared" si="0"/>
        <v>54643.990885416664</v>
      </c>
      <c r="T19" s="1">
        <f t="shared" si="1"/>
        <v>44512.1435546875</v>
      </c>
      <c r="U19" s="1">
        <f t="shared" si="2"/>
        <v>-3049.4275207519531</v>
      </c>
      <c r="V19" s="1">
        <f t="shared" si="3"/>
        <v>58254.380208333336</v>
      </c>
      <c r="W19" s="1">
        <f t="shared" ref="W19" si="22">AVERAGE(A55:C55)</f>
        <v>-598.51259613037109</v>
      </c>
      <c r="X19" s="1">
        <f t="shared" si="5"/>
        <v>-234.00558471679688</v>
      </c>
      <c r="Y19" s="1">
        <f t="shared" si="6"/>
        <v>33.515360514322914</v>
      </c>
      <c r="Z19" s="1">
        <f t="shared" si="7"/>
        <v>358.69794718424481</v>
      </c>
    </row>
    <row r="20" spans="1:26">
      <c r="A20" s="1">
        <v>172883.15625</v>
      </c>
      <c r="B20" s="1">
        <v>149886.984375</v>
      </c>
      <c r="C20" s="1">
        <v>141416.5625</v>
      </c>
      <c r="E20" s="1">
        <v>20349.951171875</v>
      </c>
      <c r="F20" s="1">
        <v>176011.109375</v>
      </c>
      <c r="G20" s="1">
        <v>165181.640625</v>
      </c>
      <c r="I20" s="1">
        <v>-5676.662109375</v>
      </c>
      <c r="J20" s="1">
        <v>-88.302886962890625</v>
      </c>
      <c r="K20" s="1">
        <v>-210.45254516601563</v>
      </c>
      <c r="M20" s="1">
        <v>74799.59375</v>
      </c>
      <c r="N20" s="1">
        <v>188234.625</v>
      </c>
      <c r="O20" s="1">
        <v>166239.59375</v>
      </c>
      <c r="R20" s="3">
        <v>19</v>
      </c>
      <c r="S20" s="1">
        <f t="shared" si="0"/>
        <v>96948.901041666672</v>
      </c>
      <c r="T20" s="1">
        <f t="shared" si="1"/>
        <v>77022.5048828125</v>
      </c>
      <c r="U20" s="1">
        <f t="shared" si="2"/>
        <v>-2368.0089524586997</v>
      </c>
      <c r="V20" s="1">
        <f t="shared" si="3"/>
        <v>96021.41796875</v>
      </c>
      <c r="W20">
        <f t="shared" ref="W20" si="23">AVERAGEA(A56:C56)</f>
        <v>-320.76358795166016</v>
      </c>
      <c r="X20" s="1">
        <f t="shared" si="5"/>
        <v>-143.95833333333334</v>
      </c>
      <c r="Y20" s="1">
        <f t="shared" si="6"/>
        <v>51.212791442871094</v>
      </c>
      <c r="Z20" s="1">
        <f t="shared" si="7"/>
        <v>328.16249593098956</v>
      </c>
    </row>
    <row r="21" spans="1:26">
      <c r="A21" s="1">
        <v>244441.921875</v>
      </c>
      <c r="B21" s="1">
        <v>208678.109375</v>
      </c>
      <c r="C21" s="1">
        <v>203377.890625</v>
      </c>
      <c r="E21" s="1">
        <v>27156.28515625</v>
      </c>
      <c r="F21" s="1">
        <v>246973.515625</v>
      </c>
      <c r="G21" s="1">
        <v>229333.125</v>
      </c>
      <c r="I21" s="1">
        <v>-8098.84423828125</v>
      </c>
      <c r="J21" s="1">
        <v>179.76528930664063</v>
      </c>
      <c r="K21" s="1">
        <v>-650.22344970703125</v>
      </c>
      <c r="M21" s="1">
        <v>95035.703125</v>
      </c>
      <c r="N21" s="1">
        <v>253841.15625</v>
      </c>
      <c r="O21" s="1">
        <v>231456.734375</v>
      </c>
      <c r="R21" s="3">
        <v>20</v>
      </c>
      <c r="S21" s="1">
        <f t="shared" si="0"/>
        <v>154728.90104166666</v>
      </c>
      <c r="T21" s="1">
        <f t="shared" si="1"/>
        <v>120514.23372395833</v>
      </c>
      <c r="U21" s="1">
        <f t="shared" si="2"/>
        <v>-1991.8058471679688</v>
      </c>
      <c r="V21" s="1">
        <f t="shared" si="3"/>
        <v>143091.27083333334</v>
      </c>
      <c r="W21" s="1">
        <f t="shared" ref="W21" si="24">AVERAGE(A57:C57)</f>
        <v>58.279706319173179</v>
      </c>
      <c r="X21" s="1">
        <f t="shared" si="5"/>
        <v>-15.5699462890625</v>
      </c>
      <c r="Y21" s="1">
        <f t="shared" si="6"/>
        <v>43.421946207682289</v>
      </c>
      <c r="Z21" s="1">
        <f t="shared" si="7"/>
        <v>52.702555338541664</v>
      </c>
    </row>
    <row r="22" spans="1:26">
      <c r="A22" s="1">
        <v>310057.6875</v>
      </c>
      <c r="B22" s="1">
        <v>262495.46875</v>
      </c>
      <c r="C22" s="1">
        <v>262703.09375</v>
      </c>
      <c r="E22" s="1">
        <v>34536.1484375</v>
      </c>
      <c r="F22" s="1">
        <v>311393.25</v>
      </c>
      <c r="G22" s="1">
        <v>290588.96875</v>
      </c>
      <c r="I22" s="1">
        <v>-10028.1513671875</v>
      </c>
      <c r="J22" s="1">
        <v>-254.63723754882813</v>
      </c>
      <c r="K22" s="1">
        <v>-616.752197265625</v>
      </c>
      <c r="M22" s="1">
        <v>114133.40625</v>
      </c>
      <c r="N22" s="1">
        <v>313472.65625</v>
      </c>
      <c r="O22" s="1">
        <v>291492.84375</v>
      </c>
      <c r="R22" s="3">
        <v>21</v>
      </c>
      <c r="S22" s="1">
        <f t="shared" si="0"/>
        <v>218832.640625</v>
      </c>
      <c r="T22" s="1">
        <f t="shared" si="1"/>
        <v>167820.97526041666</v>
      </c>
      <c r="U22" s="1">
        <f t="shared" si="2"/>
        <v>-2856.4341328938804</v>
      </c>
      <c r="V22" s="1">
        <f t="shared" si="3"/>
        <v>193444.53125</v>
      </c>
      <c r="W22">
        <f t="shared" ref="W22" si="25">AVERAGEA(A58:C58)</f>
        <v>561.85292561848962</v>
      </c>
      <c r="X22" s="1">
        <f t="shared" si="5"/>
        <v>132.35881551106772</v>
      </c>
      <c r="Y22" s="1">
        <f t="shared" si="6"/>
        <v>-251.43206532796225</v>
      </c>
      <c r="Z22" s="1">
        <f t="shared" si="7"/>
        <v>-434.72612508138019</v>
      </c>
    </row>
    <row r="23" spans="1:26">
      <c r="A23" s="1">
        <v>363772.09375</v>
      </c>
      <c r="B23" s="1">
        <v>309506.375</v>
      </c>
      <c r="C23" s="1">
        <v>314136.875</v>
      </c>
      <c r="E23" s="1">
        <v>42033.46484375</v>
      </c>
      <c r="F23" s="1">
        <v>366978.1875</v>
      </c>
      <c r="G23" s="1">
        <v>343259.9375</v>
      </c>
      <c r="I23" s="1">
        <v>-8603.7080078125</v>
      </c>
      <c r="J23" s="1">
        <v>-345.75656127929688</v>
      </c>
      <c r="K23" s="1">
        <v>-177.9410400390625</v>
      </c>
      <c r="M23" s="1">
        <v>133118.390625</v>
      </c>
      <c r="N23" s="1">
        <v>365407</v>
      </c>
      <c r="O23" s="1">
        <v>343812.84375</v>
      </c>
      <c r="R23" s="3">
        <v>22</v>
      </c>
      <c r="S23" s="1">
        <f t="shared" si="0"/>
        <v>278418.75</v>
      </c>
      <c r="T23" s="1">
        <f t="shared" si="1"/>
        <v>212172.7890625</v>
      </c>
      <c r="U23" s="1">
        <f t="shared" si="2"/>
        <v>-3633.1802673339844</v>
      </c>
      <c r="V23" s="1">
        <f t="shared" si="3"/>
        <v>239699.63541666666</v>
      </c>
      <c r="W23" s="1">
        <f t="shared" ref="W23" si="26">AVERAGE(A59:C59)</f>
        <v>603.60586547851563</v>
      </c>
      <c r="X23" s="1">
        <f t="shared" si="5"/>
        <v>282.19902292887372</v>
      </c>
      <c r="Y23" s="1">
        <f t="shared" si="6"/>
        <v>-283.76913452148438</v>
      </c>
      <c r="Z23" s="1">
        <f t="shared" si="7"/>
        <v>-611.5428568522135</v>
      </c>
    </row>
    <row r="24" spans="1:26">
      <c r="A24" s="1">
        <v>407209.65625</v>
      </c>
      <c r="B24" s="1">
        <v>348105.90625</v>
      </c>
      <c r="C24" s="1">
        <v>357297.9375</v>
      </c>
      <c r="E24" s="1">
        <v>48386.44921875</v>
      </c>
      <c r="F24" s="1">
        <v>412467.75</v>
      </c>
      <c r="G24" s="1">
        <v>386897.75</v>
      </c>
      <c r="I24" s="1">
        <v>-9480.390625</v>
      </c>
      <c r="J24" s="1">
        <v>-3.6610500812530518</v>
      </c>
      <c r="K24" s="1">
        <v>-46.286170959472656</v>
      </c>
      <c r="M24" s="1">
        <v>156105.546875</v>
      </c>
      <c r="N24" s="1">
        <v>410410.875</v>
      </c>
      <c r="O24" s="1">
        <v>387948.25</v>
      </c>
      <c r="R24" s="3">
        <v>23</v>
      </c>
      <c r="S24" s="1">
        <f t="shared" si="0"/>
        <v>329138.44791666669</v>
      </c>
      <c r="T24" s="1">
        <f t="shared" si="1"/>
        <v>250757.19661458334</v>
      </c>
      <c r="U24" s="1">
        <f t="shared" si="2"/>
        <v>-3042.4685363769531</v>
      </c>
      <c r="V24" s="1">
        <f t="shared" si="3"/>
        <v>280779.41145833331</v>
      </c>
      <c r="W24">
        <f t="shared" ref="W24" si="27">AVERAGEA(A60:C60)</f>
        <v>841.19473775227868</v>
      </c>
      <c r="X24" s="1">
        <f t="shared" si="5"/>
        <v>635.1277974446615</v>
      </c>
      <c r="Y24" s="1">
        <f t="shared" si="6"/>
        <v>-51.001073201497398</v>
      </c>
      <c r="Z24" s="1">
        <f t="shared" si="7"/>
        <v>-388.74496459960938</v>
      </c>
    </row>
    <row r="25" spans="1:26">
      <c r="A25" s="1">
        <v>441097.5625</v>
      </c>
      <c r="B25" s="1">
        <v>378256.15625</v>
      </c>
      <c r="C25" s="1">
        <v>392555.8125</v>
      </c>
      <c r="E25" s="1">
        <v>54705.51171875</v>
      </c>
      <c r="F25" s="1">
        <v>449769.75</v>
      </c>
      <c r="G25" s="1">
        <v>424141.09375</v>
      </c>
      <c r="I25" s="1">
        <v>-8835.572265625</v>
      </c>
      <c r="J25" s="1">
        <v>126.36025238037109</v>
      </c>
      <c r="K25" s="1">
        <v>77.349174499511719</v>
      </c>
      <c r="M25" s="1">
        <v>168922.59375</v>
      </c>
      <c r="N25" s="1">
        <v>448899.03125</v>
      </c>
      <c r="O25" s="1">
        <v>426940.15625</v>
      </c>
      <c r="R25" s="3">
        <v>24</v>
      </c>
      <c r="S25" s="1">
        <f t="shared" si="0"/>
        <v>370871.16666666669</v>
      </c>
      <c r="T25" s="1">
        <f t="shared" si="1"/>
        <v>282583.98307291669</v>
      </c>
      <c r="U25" s="1">
        <f t="shared" si="2"/>
        <v>-3176.7792820135751</v>
      </c>
      <c r="V25" s="1">
        <f t="shared" si="3"/>
        <v>318154.890625</v>
      </c>
      <c r="W25" s="1">
        <f t="shared" ref="W25" si="28">AVERAGE(A61:C61)</f>
        <v>1148.840840657552</v>
      </c>
      <c r="X25" s="1">
        <f t="shared" si="5"/>
        <v>420.14766947428387</v>
      </c>
      <c r="Y25" s="1">
        <f t="shared" si="6"/>
        <v>54.74420897165934</v>
      </c>
      <c r="Z25" s="1">
        <f t="shared" si="7"/>
        <v>-189.32470321655273</v>
      </c>
    </row>
    <row r="26" spans="1:26">
      <c r="A26" s="1">
        <v>468552.34375</v>
      </c>
      <c r="B26" s="1">
        <v>403682.03125</v>
      </c>
      <c r="C26" s="1">
        <v>420777.9375</v>
      </c>
      <c r="E26" s="1">
        <v>61564.328125</v>
      </c>
      <c r="F26" s="1">
        <v>480064.96875</v>
      </c>
      <c r="G26" s="1">
        <v>454101.625</v>
      </c>
      <c r="I26" s="1">
        <v>-13177.8798828125</v>
      </c>
      <c r="J26" s="1">
        <v>-169.96806335449219</v>
      </c>
      <c r="K26" s="1">
        <v>112.41420745849609</v>
      </c>
      <c r="M26" s="1">
        <v>180695.609375</v>
      </c>
      <c r="N26" s="1">
        <v>479992.53125</v>
      </c>
      <c r="O26" s="1">
        <v>459726.6875</v>
      </c>
      <c r="R26" s="3">
        <v>25</v>
      </c>
      <c r="S26" s="1">
        <f t="shared" si="0"/>
        <v>403969.84375</v>
      </c>
      <c r="T26" s="1">
        <f t="shared" si="1"/>
        <v>309538.78515625</v>
      </c>
      <c r="U26" s="1">
        <f t="shared" si="2"/>
        <v>-2877.2876129150391</v>
      </c>
      <c r="V26" s="1">
        <f t="shared" si="3"/>
        <v>348253.92708333331</v>
      </c>
      <c r="W26">
        <f t="shared" ref="W26" si="29">AVERAGEA(A62:C62)</f>
        <v>1279.8151346842449</v>
      </c>
      <c r="X26" s="1">
        <f t="shared" si="5"/>
        <v>464.55170186360675</v>
      </c>
      <c r="Y26" s="1">
        <f t="shared" si="6"/>
        <v>315.430903116862</v>
      </c>
      <c r="Z26" s="1">
        <f t="shared" si="7"/>
        <v>-412.54505920410156</v>
      </c>
    </row>
    <row r="27" spans="1:26">
      <c r="A27" s="1">
        <v>489917.71875</v>
      </c>
      <c r="B27" s="1">
        <v>422995.125</v>
      </c>
      <c r="C27" s="1">
        <v>443237.03125</v>
      </c>
      <c r="E27" s="1">
        <v>67442.6328125</v>
      </c>
      <c r="F27" s="1">
        <v>503921.71875</v>
      </c>
      <c r="G27" s="1">
        <v>478250.75</v>
      </c>
      <c r="I27" s="1">
        <v>-16203.9365234375</v>
      </c>
      <c r="J27" s="1">
        <v>-185.78269958496094</v>
      </c>
      <c r="K27" s="1">
        <v>140.21751403808594</v>
      </c>
      <c r="M27" s="1">
        <v>192282.40625</v>
      </c>
      <c r="N27" s="1">
        <v>505313.53125</v>
      </c>
      <c r="O27" s="1">
        <v>485351.125</v>
      </c>
      <c r="R27" s="3">
        <v>26</v>
      </c>
      <c r="S27" s="1">
        <f t="shared" si="0"/>
        <v>431004.10416666669</v>
      </c>
      <c r="T27" s="1">
        <f t="shared" si="1"/>
        <v>331910.30729166669</v>
      </c>
      <c r="U27" s="1">
        <f t="shared" si="2"/>
        <v>-4411.8112462361651</v>
      </c>
      <c r="V27" s="1">
        <f t="shared" si="3"/>
        <v>373471.609375</v>
      </c>
      <c r="W27" s="1">
        <f t="shared" ref="W27" si="30">AVERAGE(A63:C63)</f>
        <v>1634.842793782552</v>
      </c>
      <c r="X27" s="1">
        <f t="shared" si="5"/>
        <v>914.27343241373694</v>
      </c>
      <c r="Y27" s="1">
        <f t="shared" si="6"/>
        <v>348.842524210612</v>
      </c>
      <c r="Z27" s="1">
        <f t="shared" si="7"/>
        <v>-284.30706787109375</v>
      </c>
    </row>
    <row r="28" spans="1:26">
      <c r="A28" s="1">
        <v>506110.65625</v>
      </c>
      <c r="B28" s="1">
        <v>438061.09375</v>
      </c>
      <c r="C28" s="1">
        <v>461625.40625</v>
      </c>
      <c r="E28" s="1">
        <v>72409.6875</v>
      </c>
      <c r="F28" s="1">
        <v>524190.9375</v>
      </c>
      <c r="G28" s="1">
        <v>498415.46875</v>
      </c>
      <c r="I28" s="1">
        <v>-15693.119140625</v>
      </c>
      <c r="J28" s="1">
        <v>309.63897705078125</v>
      </c>
      <c r="K28" s="1">
        <v>93.364585876464844</v>
      </c>
      <c r="M28" s="1">
        <v>202312.921875</v>
      </c>
      <c r="N28" s="1">
        <v>527613.125</v>
      </c>
      <c r="O28" s="1">
        <v>508066.40625</v>
      </c>
      <c r="R28" s="3">
        <v>27</v>
      </c>
      <c r="S28" s="1">
        <f t="shared" si="0"/>
        <v>452049.95833333331</v>
      </c>
      <c r="T28" s="1">
        <f t="shared" si="1"/>
        <v>349871.70052083331</v>
      </c>
      <c r="U28" s="1">
        <f t="shared" si="2"/>
        <v>-5416.500569661458</v>
      </c>
      <c r="V28" s="1">
        <f t="shared" si="3"/>
        <v>394315.6875</v>
      </c>
      <c r="W28">
        <f t="shared" ref="W28" si="31">AVERAGEA(A64:C64)</f>
        <v>1741.7780456542969</v>
      </c>
      <c r="X28" s="1">
        <f t="shared" si="5"/>
        <v>1005.9768981933594</v>
      </c>
      <c r="Y28" s="1">
        <f t="shared" si="6"/>
        <v>263.57380421956378</v>
      </c>
      <c r="Z28" s="1">
        <f t="shared" si="7"/>
        <v>-135.07949574788412</v>
      </c>
    </row>
    <row r="29" spans="1:26">
      <c r="A29" s="1">
        <v>518973.5625</v>
      </c>
      <c r="B29" s="1">
        <v>450740.5625</v>
      </c>
      <c r="C29" s="1">
        <v>476748.09375</v>
      </c>
      <c r="E29" s="1">
        <v>76732.6328125</v>
      </c>
      <c r="F29" s="1">
        <v>540702.5</v>
      </c>
      <c r="G29" s="1">
        <v>514764.28125</v>
      </c>
      <c r="I29" s="1">
        <v>-13433.80078125</v>
      </c>
      <c r="J29" s="1">
        <v>477.3653564453125</v>
      </c>
      <c r="K29" s="1">
        <v>153.73039245605469</v>
      </c>
      <c r="M29" s="1">
        <v>214974.90625</v>
      </c>
      <c r="N29" s="1">
        <v>547402.5625</v>
      </c>
      <c r="O29" s="1">
        <v>527349.375</v>
      </c>
      <c r="R29" s="3">
        <v>28</v>
      </c>
      <c r="S29" s="1">
        <f t="shared" si="0"/>
        <v>468599.05208333331</v>
      </c>
      <c r="T29" s="1">
        <f t="shared" si="1"/>
        <v>365005.36458333331</v>
      </c>
      <c r="U29" s="1">
        <f t="shared" si="2"/>
        <v>-5096.705192565918</v>
      </c>
      <c r="V29" s="1">
        <f t="shared" si="3"/>
        <v>412664.15104166669</v>
      </c>
      <c r="W29" s="1">
        <f t="shared" ref="W29" si="32">AVERAGE(A65:C65)</f>
        <v>1674.5062204996746</v>
      </c>
      <c r="X29" s="1">
        <f t="shared" si="5"/>
        <v>1019.3183848063151</v>
      </c>
      <c r="Y29" s="1">
        <f t="shared" si="6"/>
        <v>173.26895650227866</v>
      </c>
      <c r="Z29" s="1">
        <f t="shared" si="7"/>
        <v>37.713159131507076</v>
      </c>
    </row>
    <row r="30" spans="1:26">
      <c r="A30" s="1">
        <v>528712.8125</v>
      </c>
      <c r="B30" s="1">
        <v>460181.875</v>
      </c>
      <c r="C30" s="1">
        <v>489050.125</v>
      </c>
      <c r="E30" s="1">
        <v>82367.640625</v>
      </c>
      <c r="F30" s="1">
        <v>553448.6875</v>
      </c>
      <c r="G30" s="1">
        <v>528089.1875</v>
      </c>
      <c r="I30" s="1">
        <v>-15717.9833984375</v>
      </c>
      <c r="J30" s="1">
        <v>267.27142333984375</v>
      </c>
      <c r="K30" s="1">
        <v>469.76419067382813</v>
      </c>
      <c r="M30" s="1">
        <v>237158.6875</v>
      </c>
      <c r="N30" s="1">
        <v>563001.25</v>
      </c>
      <c r="O30" s="1">
        <v>543759.75</v>
      </c>
      <c r="R30" s="3">
        <v>29</v>
      </c>
      <c r="S30" s="1">
        <f t="shared" si="0"/>
        <v>482154.07291666669</v>
      </c>
      <c r="T30" s="1">
        <f t="shared" si="1"/>
        <v>377399.8046875</v>
      </c>
      <c r="U30" s="1">
        <f t="shared" si="2"/>
        <v>-4267.5683441162109</v>
      </c>
      <c r="V30" s="1">
        <f t="shared" si="3"/>
        <v>429908.94791666669</v>
      </c>
      <c r="W30">
        <f t="shared" ref="W30" si="33">AVERAGEA(A66:C66)</f>
        <v>2008.847640355428</v>
      </c>
      <c r="X30" s="1">
        <f t="shared" si="5"/>
        <v>1200.0727233886719</v>
      </c>
      <c r="Y30" s="1">
        <f t="shared" si="6"/>
        <v>119.26455434163411</v>
      </c>
      <c r="Z30" s="1">
        <f t="shared" si="7"/>
        <v>1454.1099344889324</v>
      </c>
    </row>
    <row r="31" spans="1:26">
      <c r="A31" s="1">
        <v>535711.4375</v>
      </c>
      <c r="B31" s="1">
        <v>467115.25</v>
      </c>
      <c r="C31" s="1">
        <v>498319.46875</v>
      </c>
      <c r="E31" s="1">
        <v>86539.3515625</v>
      </c>
      <c r="F31" s="1">
        <v>564096.5</v>
      </c>
      <c r="G31" s="1">
        <v>538723.8125</v>
      </c>
      <c r="I31" s="1">
        <v>-20571.916015625</v>
      </c>
      <c r="J31" s="1">
        <v>-88.375236511230469</v>
      </c>
      <c r="K31" s="1">
        <v>713.5089111328125</v>
      </c>
      <c r="M31" s="1">
        <v>279054.03125</v>
      </c>
      <c r="N31" s="1">
        <v>576805.4375</v>
      </c>
      <c r="O31" s="1">
        <v>557173.375</v>
      </c>
      <c r="R31" s="3">
        <v>30</v>
      </c>
      <c r="S31" s="1">
        <f t="shared" si="0"/>
        <v>492648.27083333331</v>
      </c>
      <c r="T31" s="1">
        <f t="shared" si="1"/>
        <v>387968.50520833331</v>
      </c>
      <c r="U31" s="1">
        <f t="shared" si="2"/>
        <v>-4993.6492614746094</v>
      </c>
      <c r="V31" s="1">
        <f t="shared" si="3"/>
        <v>447973.22916666669</v>
      </c>
      <c r="W31" s="1">
        <f t="shared" ref="W31" si="34">AVERAGE(A67:C67)</f>
        <v>2710.3349812825522</v>
      </c>
      <c r="X31" s="1">
        <f t="shared" si="5"/>
        <v>1229.5274861653645</v>
      </c>
      <c r="Y31" s="1">
        <f t="shared" si="6"/>
        <v>83.765698750813797</v>
      </c>
      <c r="Z31" s="1">
        <f t="shared" si="7"/>
        <v>4032.9105631510415</v>
      </c>
    </row>
    <row r="32" spans="1:26">
      <c r="A32" s="1">
        <v>540200.125</v>
      </c>
      <c r="B32" s="1">
        <v>472818.28125</v>
      </c>
      <c r="C32" s="1">
        <v>506546.3125</v>
      </c>
      <c r="E32" s="1">
        <v>90733.1796875</v>
      </c>
      <c r="F32" s="1">
        <v>572990.9375</v>
      </c>
      <c r="G32" s="1">
        <v>546281.9375</v>
      </c>
      <c r="I32" s="1">
        <v>-25065.97265625</v>
      </c>
      <c r="J32" s="1">
        <v>-83.105888366699219</v>
      </c>
      <c r="K32" s="1">
        <v>690.19110107421875</v>
      </c>
      <c r="M32" s="1">
        <v>293367.90625</v>
      </c>
      <c r="N32" s="1">
        <v>588694.1875</v>
      </c>
      <c r="O32" s="1">
        <v>567908.8125</v>
      </c>
      <c r="R32" s="3">
        <v>31</v>
      </c>
      <c r="S32" s="1">
        <f t="shared" si="0"/>
        <v>500382.05208333331</v>
      </c>
      <c r="T32" s="1">
        <f t="shared" si="1"/>
        <v>396453.22135416669</v>
      </c>
      <c r="U32" s="1">
        <f t="shared" si="2"/>
        <v>-6648.9274470011396</v>
      </c>
      <c r="V32" s="1">
        <f t="shared" si="3"/>
        <v>471010.94791666669</v>
      </c>
      <c r="W32">
        <f t="shared" ref="W32" si="35">AVERAGEA(A68:C68)</f>
        <v>3726.8938802083335</v>
      </c>
      <c r="X32" s="1">
        <f t="shared" si="5"/>
        <v>1566.6306966145833</v>
      </c>
      <c r="Y32" s="1">
        <f t="shared" si="6"/>
        <v>-9.8650004069010411</v>
      </c>
      <c r="Z32" s="1">
        <f t="shared" si="7"/>
        <v>8555.5364583333339</v>
      </c>
    </row>
    <row r="33" spans="1:26">
      <c r="A33" s="1">
        <v>543779.5</v>
      </c>
      <c r="B33" s="1">
        <v>477428.75</v>
      </c>
      <c r="C33" s="1">
        <v>511898</v>
      </c>
      <c r="E33" s="1">
        <v>94019.3828125</v>
      </c>
      <c r="F33" s="1">
        <v>579822.9375</v>
      </c>
      <c r="G33" s="1">
        <v>553515.3125</v>
      </c>
      <c r="I33" s="1">
        <v>-26665.154296875</v>
      </c>
      <c r="J33" s="1">
        <v>483.9681396484375</v>
      </c>
      <c r="K33" s="1">
        <v>733.88897705078125</v>
      </c>
      <c r="M33" s="1">
        <v>309922.84375</v>
      </c>
      <c r="N33" s="1">
        <v>600356.5625</v>
      </c>
      <c r="O33" s="1">
        <v>576924.0625</v>
      </c>
      <c r="R33" s="3">
        <v>32</v>
      </c>
      <c r="S33" s="1">
        <f t="shared" si="0"/>
        <v>506521.57291666669</v>
      </c>
      <c r="T33" s="1">
        <f t="shared" si="1"/>
        <v>403335.3515625</v>
      </c>
      <c r="U33" s="1">
        <f t="shared" si="2"/>
        <v>-8152.9624811808271</v>
      </c>
      <c r="V33" s="1">
        <f t="shared" si="3"/>
        <v>483323.63541666669</v>
      </c>
      <c r="W33" s="1">
        <f t="shared" ref="W33" si="36">AVERAGE(A69:C69)</f>
        <v>5569.530843098958</v>
      </c>
      <c r="X33" s="1">
        <f t="shared" si="5"/>
        <v>2446.9332071940103</v>
      </c>
      <c r="Y33" s="1">
        <f t="shared" si="6"/>
        <v>-107.83228302001953</v>
      </c>
      <c r="Z33" s="1">
        <f t="shared" si="7"/>
        <v>17275.477864583332</v>
      </c>
    </row>
    <row r="34" spans="1:26">
      <c r="A34" s="1">
        <v>545044.125</v>
      </c>
      <c r="B34" s="1">
        <v>480552.4375</v>
      </c>
      <c r="C34" s="1">
        <v>517261.46875</v>
      </c>
      <c r="E34" s="1">
        <v>96532.5546875</v>
      </c>
      <c r="F34" s="1">
        <v>584526.1875</v>
      </c>
      <c r="G34" s="1">
        <v>560416.5625</v>
      </c>
      <c r="I34" s="1">
        <v>-22833.8359375</v>
      </c>
      <c r="J34" s="1">
        <v>586.03826904296875</v>
      </c>
      <c r="K34" s="1">
        <v>1212.9071044921875</v>
      </c>
      <c r="M34" s="1">
        <v>334348.5625</v>
      </c>
      <c r="N34" s="1">
        <v>609790.25</v>
      </c>
      <c r="O34" s="1">
        <v>585766.625</v>
      </c>
      <c r="R34" s="3">
        <v>33</v>
      </c>
      <c r="S34" s="1">
        <f t="shared" si="0"/>
        <v>511035.41666666669</v>
      </c>
      <c r="T34" s="1">
        <f t="shared" si="1"/>
        <v>409119.2109375</v>
      </c>
      <c r="U34" s="1">
        <f t="shared" si="2"/>
        <v>-8482.4323933919277</v>
      </c>
      <c r="V34" s="1">
        <f t="shared" si="3"/>
        <v>495734.48958333331</v>
      </c>
      <c r="W34">
        <f t="shared" ref="W34" si="37">AVERAGEA(A70:C70)</f>
        <v>9148.4581705729161</v>
      </c>
      <c r="X34" s="1">
        <f t="shared" si="5"/>
        <v>4188.5157470703125</v>
      </c>
      <c r="Y34" s="1">
        <f t="shared" si="6"/>
        <v>37.99795468648275</v>
      </c>
      <c r="Z34" s="1">
        <f t="shared" si="7"/>
        <v>33737.8515625</v>
      </c>
    </row>
    <row r="35" spans="1:26">
      <c r="A35" s="1">
        <v>546020.25</v>
      </c>
      <c r="B35" s="1">
        <v>482903.65625</v>
      </c>
      <c r="C35" s="1">
        <v>519604.1875</v>
      </c>
      <c r="E35" s="1">
        <v>98785.109375</v>
      </c>
      <c r="F35" s="1">
        <v>587537.6875</v>
      </c>
      <c r="G35" s="1">
        <v>559485.4375</v>
      </c>
      <c r="I35" s="1">
        <v>-24054.01953125</v>
      </c>
      <c r="J35" s="1">
        <v>479.1865234375</v>
      </c>
      <c r="K35" s="1">
        <v>2145.35498046875</v>
      </c>
      <c r="M35" s="1">
        <v>348856.375</v>
      </c>
      <c r="N35" s="1">
        <v>615796.75</v>
      </c>
      <c r="O35" s="1">
        <v>592831.8125</v>
      </c>
      <c r="R35" s="3">
        <v>34</v>
      </c>
      <c r="S35" s="1">
        <f t="shared" si="0"/>
        <v>514286.01041666669</v>
      </c>
      <c r="T35" s="1">
        <f t="shared" si="1"/>
        <v>413825.1015625</v>
      </c>
      <c r="U35" s="1">
        <f t="shared" si="2"/>
        <v>-7011.6301879882813</v>
      </c>
      <c r="V35" s="1">
        <f t="shared" si="3"/>
        <v>509968.47916666669</v>
      </c>
      <c r="W35" s="1">
        <f t="shared" ref="W35" si="38">AVERAGE(A71:C71)</f>
        <v>15329.697916666666</v>
      </c>
      <c r="X35" s="1">
        <f t="shared" si="5"/>
        <v>7180.8777058919268</v>
      </c>
      <c r="Y35" s="1">
        <f t="shared" si="6"/>
        <v>-5.0396448771158857</v>
      </c>
      <c r="Z35" s="1">
        <f t="shared" si="7"/>
        <v>63398.34375</v>
      </c>
    </row>
    <row r="36" spans="1:26">
      <c r="R36" s="3">
        <v>35</v>
      </c>
      <c r="S36" s="1">
        <f t="shared" si="0"/>
        <v>516176.03125</v>
      </c>
      <c r="T36" s="1">
        <f t="shared" si="1"/>
        <v>415269.41145833331</v>
      </c>
      <c r="U36" s="1">
        <f t="shared" si="2"/>
        <v>-7143.159342447917</v>
      </c>
      <c r="V36" s="1">
        <f t="shared" si="3"/>
        <v>519161.64583333331</v>
      </c>
      <c r="W36">
        <f t="shared" ref="W36" si="39">AVERAGEA(A72:C72)</f>
        <v>23977.533854166668</v>
      </c>
      <c r="X36" s="1">
        <f t="shared" si="5"/>
        <v>11346.849890391031</v>
      </c>
      <c r="Y36" s="1">
        <f t="shared" si="6"/>
        <v>225.87947591145834</v>
      </c>
      <c r="Z36" s="1">
        <f t="shared" si="7"/>
        <v>100834.37239583333</v>
      </c>
    </row>
    <row r="38" spans="1:26">
      <c r="A38" s="1">
        <v>2033.7672119140625</v>
      </c>
      <c r="B38" s="1">
        <v>157.96337890625</v>
      </c>
      <c r="C38" s="1">
        <v>3195.43017578125</v>
      </c>
      <c r="E38" s="1">
        <v>-5795.53564453125</v>
      </c>
      <c r="F38" s="1">
        <v>-1671.6981201171875</v>
      </c>
      <c r="G38" s="1">
        <v>-371.0635986328125</v>
      </c>
      <c r="I38" s="1">
        <v>1042.5645751953125</v>
      </c>
      <c r="J38" s="1">
        <v>-208.81979370117188</v>
      </c>
      <c r="K38" s="1">
        <v>905.40142822265625</v>
      </c>
      <c r="M38" s="1">
        <v>-2423.85302734375</v>
      </c>
      <c r="N38" s="1">
        <v>-971.08984375</v>
      </c>
      <c r="O38" s="1">
        <v>-4179.95556640625</v>
      </c>
    </row>
    <row r="39" spans="1:26">
      <c r="A39" s="1">
        <v>1973.4681396484375</v>
      </c>
      <c r="B39" s="1">
        <v>261.79544067382813</v>
      </c>
      <c r="C39" s="1">
        <v>5009.4453125</v>
      </c>
      <c r="E39" s="1">
        <v>-4402.8271484375</v>
      </c>
      <c r="F39" s="1">
        <v>-1750.4373779296875</v>
      </c>
      <c r="G39" s="1">
        <v>-273.4066162109375</v>
      </c>
      <c r="I39" s="1">
        <v>912.51593017578125</v>
      </c>
      <c r="J39" s="1">
        <v>174.97808837890625</v>
      </c>
      <c r="K39" s="1">
        <v>770.142822265625</v>
      </c>
      <c r="M39" s="1">
        <v>-2639.3740234375</v>
      </c>
      <c r="N39" s="1">
        <v>-1439.2327880859375</v>
      </c>
      <c r="O39" s="1">
        <v>-4109.67919921875</v>
      </c>
    </row>
    <row r="40" spans="1:26">
      <c r="A40" s="1">
        <v>1329.3134765625</v>
      </c>
      <c r="B40" s="1">
        <v>555.75250244140625</v>
      </c>
      <c r="C40" s="1">
        <v>6438.4833984375</v>
      </c>
      <c r="E40" s="1">
        <v>-3209.462646484375</v>
      </c>
      <c r="F40" s="1">
        <v>-1763.9031982421875</v>
      </c>
      <c r="G40" s="1">
        <v>-149.86677551269531</v>
      </c>
      <c r="I40" s="1">
        <v>575.31500244140625</v>
      </c>
      <c r="J40" s="1">
        <v>299.27206420898438</v>
      </c>
      <c r="K40" s="1">
        <v>746.08349609375</v>
      </c>
      <c r="M40" s="1">
        <v>-1304.9930419921875</v>
      </c>
      <c r="N40" s="1">
        <v>-1099.000732421875</v>
      </c>
      <c r="O40" s="1">
        <v>-2472.91064453125</v>
      </c>
    </row>
    <row r="41" spans="1:26">
      <c r="A41" s="1">
        <v>625.373779296875</v>
      </c>
      <c r="B41" s="1">
        <v>553.1158447265625</v>
      </c>
      <c r="C41" s="1">
        <v>6763.14697265625</v>
      </c>
      <c r="E41" s="1">
        <v>-2035.7073974609375</v>
      </c>
      <c r="F41" s="1">
        <v>-1548.0291748046875</v>
      </c>
      <c r="G41" s="1">
        <v>300.36053466796875</v>
      </c>
      <c r="I41" s="1">
        <v>347.46759033203125</v>
      </c>
      <c r="J41" s="1">
        <v>235.4254150390625</v>
      </c>
      <c r="K41" s="1">
        <v>340.215576171875</v>
      </c>
      <c r="M41" s="1">
        <v>-1461.05712890625</v>
      </c>
      <c r="N41" s="1">
        <v>-578.53424072265625</v>
      </c>
      <c r="O41" s="1">
        <v>-1301.802001953125</v>
      </c>
    </row>
    <row r="42" spans="1:26">
      <c r="A42" s="1">
        <v>97.879379272460938</v>
      </c>
      <c r="B42" s="1">
        <v>488.78387451171875</v>
      </c>
      <c r="C42" s="1">
        <v>4404.44287109375</v>
      </c>
      <c r="E42" s="1">
        <v>-1117.8271484375</v>
      </c>
      <c r="F42" s="1">
        <v>-1173.928466796875</v>
      </c>
      <c r="G42" s="1">
        <v>290.57614135742188</v>
      </c>
      <c r="I42" s="1">
        <v>196.79107666015625</v>
      </c>
      <c r="J42" s="1">
        <v>498.69204711914063</v>
      </c>
      <c r="K42" s="1">
        <v>146.99217224121094</v>
      </c>
      <c r="M42" s="1">
        <v>-1257.351806640625</v>
      </c>
      <c r="N42" s="1">
        <v>537.83062744140625</v>
      </c>
      <c r="O42" s="1">
        <v>-75.365303039550781</v>
      </c>
    </row>
    <row r="43" spans="1:26">
      <c r="A43" s="1">
        <v>-49.408012390136719</v>
      </c>
      <c r="B43" s="1">
        <v>220.19407653808594</v>
      </c>
      <c r="C43" s="1">
        <v>2103.707763671875</v>
      </c>
      <c r="E43" s="1">
        <v>-348.60324096679688</v>
      </c>
      <c r="F43" s="1">
        <v>-777.863037109375</v>
      </c>
      <c r="G43" s="1">
        <v>79.010498046875</v>
      </c>
      <c r="I43" s="1">
        <v>103.23564147949219</v>
      </c>
      <c r="J43" s="1">
        <v>239.35710144042969</v>
      </c>
      <c r="K43" s="1">
        <v>100.90158081054688</v>
      </c>
      <c r="M43" s="1">
        <v>211.25590515136719</v>
      </c>
      <c r="N43" s="1">
        <v>302.07046508789063</v>
      </c>
      <c r="O43" s="1">
        <v>492.55966186523438</v>
      </c>
    </row>
    <row r="44" spans="1:26">
      <c r="A44" s="1">
        <v>-18.250089645385742</v>
      </c>
      <c r="B44" s="1">
        <v>153.97146606445313</v>
      </c>
      <c r="C44" s="1">
        <v>-3377.76953125</v>
      </c>
      <c r="E44" s="1">
        <v>702.8863525390625</v>
      </c>
      <c r="F44" s="1">
        <v>705.690673828125</v>
      </c>
      <c r="G44" s="1">
        <v>-30.547330856323242</v>
      </c>
      <c r="I44" s="1">
        <v>70.848182678222656</v>
      </c>
      <c r="J44" s="1">
        <v>2.8073208332061768</v>
      </c>
      <c r="K44" s="1">
        <v>4.4594230651855469</v>
      </c>
      <c r="M44" s="1">
        <v>325.44952392578125</v>
      </c>
      <c r="N44" s="1">
        <v>96.302528381347656</v>
      </c>
      <c r="O44" s="1">
        <v>321.18380737304688</v>
      </c>
    </row>
    <row r="45" spans="1:26">
      <c r="A45" s="1">
        <v>25.474239349365234</v>
      </c>
      <c r="B45" s="1">
        <v>275.63949584960938</v>
      </c>
      <c r="C45" s="1">
        <v>-4300.9580078125</v>
      </c>
      <c r="E45" s="1">
        <v>1232.5712890625</v>
      </c>
      <c r="F45" s="1">
        <v>848.666259765625</v>
      </c>
      <c r="G45" s="1">
        <v>-58.09735107421875</v>
      </c>
      <c r="I45" s="1">
        <v>64.636505126953125</v>
      </c>
      <c r="J45" s="1">
        <v>-111.00417327880859</v>
      </c>
      <c r="K45" s="1">
        <v>23.275081634521484</v>
      </c>
      <c r="M45" s="1">
        <v>28.182243347167969</v>
      </c>
      <c r="N45" s="1">
        <v>-179.15290832519531</v>
      </c>
      <c r="O45" s="1">
        <v>1286.9173583984375</v>
      </c>
    </row>
    <row r="46" spans="1:26">
      <c r="A46" s="1">
        <v>-9.6842451095581055</v>
      </c>
      <c r="B46" s="1">
        <v>-87.4971923828125</v>
      </c>
      <c r="C46" s="1">
        <v>-3064.536865234375</v>
      </c>
      <c r="E46" s="1">
        <v>1567.998291015625</v>
      </c>
      <c r="F46" s="1">
        <v>689.96221923828125</v>
      </c>
      <c r="G46" s="1">
        <v>-45.541904449462891</v>
      </c>
      <c r="I46" s="1">
        <v>399.81253051757813</v>
      </c>
      <c r="J46" s="1">
        <v>-200.725830078125</v>
      </c>
      <c r="K46" s="1">
        <v>-100.16316986083984</v>
      </c>
      <c r="M46" s="1">
        <v>836.1649169921875</v>
      </c>
      <c r="N46" s="1">
        <v>-463.26458740234375</v>
      </c>
      <c r="O46" s="1">
        <v>989.58843994140625</v>
      </c>
    </row>
    <row r="47" spans="1:26">
      <c r="A47" s="1">
        <v>-903.19036865234375</v>
      </c>
      <c r="B47" s="1">
        <v>-286.26666259765625</v>
      </c>
      <c r="C47" s="1">
        <v>-2509.28759765625</v>
      </c>
      <c r="E47" s="1">
        <v>2682.74560546875</v>
      </c>
      <c r="F47" s="1">
        <v>632.12530517578125</v>
      </c>
      <c r="G47" s="1">
        <v>129.7869873046875</v>
      </c>
      <c r="I47" s="1">
        <v>430.532470703125</v>
      </c>
      <c r="J47" s="1">
        <v>2.3298590183258057</v>
      </c>
      <c r="K47" s="1">
        <v>-168.53890991210938</v>
      </c>
      <c r="M47" s="1">
        <v>1001.0382690429688</v>
      </c>
      <c r="N47" s="1">
        <v>-100.68879699707031</v>
      </c>
      <c r="O47" s="1">
        <v>940.37664794921875</v>
      </c>
    </row>
    <row r="48" spans="1:26">
      <c r="A48" s="1">
        <v>-950.591064453125</v>
      </c>
      <c r="B48" s="1">
        <v>-441.12991333007813</v>
      </c>
      <c r="C48" s="1">
        <v>-2267.319580078125</v>
      </c>
      <c r="E48" s="1">
        <v>3249.6181640625</v>
      </c>
      <c r="F48" s="1">
        <v>-22.438148498535156</v>
      </c>
      <c r="G48" s="1">
        <v>92.608055114746094</v>
      </c>
      <c r="I48" s="1">
        <v>-92.02197265625</v>
      </c>
      <c r="J48" s="1">
        <v>-53.919139862060547</v>
      </c>
      <c r="K48" s="1">
        <v>-237.23887634277344</v>
      </c>
      <c r="M48" s="1">
        <v>1097.78662109375</v>
      </c>
      <c r="N48" s="1">
        <v>-151.59736633300781</v>
      </c>
      <c r="O48" s="1">
        <v>1031.7274169921875</v>
      </c>
    </row>
    <row r="49" spans="1:15">
      <c r="A49" s="1">
        <v>-198.61672973632813</v>
      </c>
      <c r="B49" s="1">
        <v>-470.35250854492188</v>
      </c>
      <c r="C49" s="1">
        <v>-2079.25</v>
      </c>
      <c r="E49" s="1">
        <v>3249.334228515625</v>
      </c>
      <c r="F49" s="1">
        <v>-161.74378967285156</v>
      </c>
      <c r="G49" s="1">
        <v>26.47990608215332</v>
      </c>
      <c r="I49" s="1">
        <v>-206.068603515625</v>
      </c>
      <c r="J49" s="1">
        <v>-141.78532409667969</v>
      </c>
      <c r="K49" s="1">
        <v>-332.9974365234375</v>
      </c>
      <c r="M49" s="1">
        <v>619.363037109375</v>
      </c>
      <c r="N49" s="1">
        <v>342.32220458984375</v>
      </c>
      <c r="O49" s="1">
        <v>938.6328125</v>
      </c>
    </row>
    <row r="50" spans="1:15">
      <c r="A50" s="1">
        <v>-74.747871398925781</v>
      </c>
      <c r="B50" s="1">
        <v>-384.88763427734375</v>
      </c>
      <c r="C50" s="1">
        <v>-2863.235107421875</v>
      </c>
      <c r="E50" s="1">
        <v>2351.58154296875</v>
      </c>
      <c r="F50" s="1">
        <v>412.2200927734375</v>
      </c>
      <c r="G50" s="1">
        <v>11.535354614257813</v>
      </c>
      <c r="I50" s="1">
        <v>-27.98341178894043</v>
      </c>
      <c r="J50" s="1">
        <v>25.868022918701172</v>
      </c>
      <c r="K50" s="1">
        <v>-179.25599670410156</v>
      </c>
      <c r="M50" s="1">
        <v>603.36920166015625</v>
      </c>
      <c r="N50" s="1">
        <v>439.46832275390625</v>
      </c>
      <c r="O50" s="1">
        <v>624.5303955078125</v>
      </c>
    </row>
    <row r="51" spans="1:15">
      <c r="A51" s="1">
        <v>-176.12901306152344</v>
      </c>
      <c r="B51" s="1">
        <v>-515.8914794921875</v>
      </c>
      <c r="C51" s="1">
        <v>-2953.61865234375</v>
      </c>
      <c r="E51" s="1">
        <v>-1138.0380859375</v>
      </c>
      <c r="F51" s="1">
        <v>670.7308349609375</v>
      </c>
      <c r="G51" s="1">
        <v>-115.52638244628906</v>
      </c>
      <c r="I51" s="1">
        <v>-739.113037109375</v>
      </c>
      <c r="J51" s="1">
        <v>-493.0255126953125</v>
      </c>
      <c r="K51" s="1">
        <v>-325.34658813476563</v>
      </c>
      <c r="M51" s="1">
        <v>189.85189819335938</v>
      </c>
      <c r="N51" s="1">
        <v>583.77850341796875</v>
      </c>
      <c r="O51" s="1">
        <v>-56.439155578613281</v>
      </c>
    </row>
    <row r="52" spans="1:15">
      <c r="A52" s="1">
        <v>-173.88124084472656</v>
      </c>
      <c r="B52" s="1">
        <v>-870.38751220703125</v>
      </c>
      <c r="C52" s="1">
        <v>-2904.55712890625</v>
      </c>
      <c r="E52" s="1">
        <v>-1874.814208984375</v>
      </c>
      <c r="F52" s="1">
        <v>592.39788818359375</v>
      </c>
      <c r="G52" s="1">
        <v>-433.427978515625</v>
      </c>
      <c r="I52" s="1">
        <v>-867.12066650390625</v>
      </c>
      <c r="J52" s="1">
        <v>-689.83306884765625</v>
      </c>
      <c r="K52" s="1">
        <v>-653.31610107421875</v>
      </c>
      <c r="M52" s="1">
        <v>556.3658447265625</v>
      </c>
      <c r="N52" s="1">
        <v>472.11993408203125</v>
      </c>
      <c r="O52" s="1">
        <v>-763.33843994140625</v>
      </c>
    </row>
    <row r="53" spans="1:15">
      <c r="A53" s="1">
        <v>-27.531915664672852</v>
      </c>
      <c r="B53" s="1">
        <v>-887.20391845703125</v>
      </c>
      <c r="C53" s="1">
        <v>-2559.167236328125</v>
      </c>
      <c r="E53" s="1">
        <v>-1775.4027099609375</v>
      </c>
      <c r="F53" s="1">
        <v>665.01019287109375</v>
      </c>
      <c r="G53" s="1">
        <v>-468.56002807617188</v>
      </c>
      <c r="I53" s="1">
        <v>-511.91726684570313</v>
      </c>
      <c r="J53" s="1">
        <v>-364.97662353515625</v>
      </c>
      <c r="K53" s="1">
        <v>-682.63323974609375</v>
      </c>
      <c r="M53" s="1">
        <v>461.60638427734375</v>
      </c>
      <c r="N53" s="1">
        <v>70.125434875488281</v>
      </c>
      <c r="O53" s="1">
        <v>-539.3626708984375</v>
      </c>
    </row>
    <row r="54" spans="1:15">
      <c r="A54" s="1">
        <v>-242.81539916992188</v>
      </c>
      <c r="B54" s="1">
        <v>-637.379638671875</v>
      </c>
      <c r="C54" s="1">
        <v>-1825.70703125</v>
      </c>
      <c r="E54" s="1">
        <v>-1515.8505859375</v>
      </c>
      <c r="F54" s="1">
        <v>663.68109130859375</v>
      </c>
      <c r="G54" s="1">
        <v>-214.18817138671875</v>
      </c>
      <c r="I54" s="1">
        <v>-464.00982666015625</v>
      </c>
      <c r="J54" s="1">
        <v>-129.79203796386719</v>
      </c>
      <c r="K54" s="1">
        <v>24.295690536499023</v>
      </c>
      <c r="M54" s="1">
        <v>425.30001831054688</v>
      </c>
      <c r="N54" s="1">
        <v>605.59967041015625</v>
      </c>
      <c r="O54" s="1">
        <v>-59.644763946533203</v>
      </c>
    </row>
    <row r="55" spans="1:15">
      <c r="A55" s="1">
        <v>-324.212158203125</v>
      </c>
      <c r="B55" s="1">
        <v>-77.039741516113281</v>
      </c>
      <c r="C55" s="1">
        <v>-1394.285888671875</v>
      </c>
      <c r="E55" s="1">
        <v>-1053.595458984375</v>
      </c>
      <c r="F55" s="1">
        <v>471.23876953125</v>
      </c>
      <c r="G55" s="1">
        <v>-119.66006469726563</v>
      </c>
      <c r="I55" s="1">
        <v>-315.55938720703125</v>
      </c>
      <c r="J55" s="1">
        <v>232.97850036621094</v>
      </c>
      <c r="K55" s="1">
        <v>183.12696838378906</v>
      </c>
      <c r="M55" s="1">
        <v>548.85302734375</v>
      </c>
      <c r="N55" s="1">
        <v>806.88641357421875</v>
      </c>
      <c r="O55" s="1">
        <v>-279.64559936523438</v>
      </c>
    </row>
    <row r="56" spans="1:15">
      <c r="A56" s="1">
        <v>-327.49172973632813</v>
      </c>
      <c r="B56" s="1">
        <v>-6.5045394897460938</v>
      </c>
      <c r="C56" s="1">
        <v>-628.29449462890625</v>
      </c>
      <c r="E56" s="1">
        <v>-967.4339599609375</v>
      </c>
      <c r="F56" s="1">
        <v>341.27685546875</v>
      </c>
      <c r="G56" s="1">
        <v>194.2821044921875</v>
      </c>
      <c r="I56" s="1">
        <v>-218.52984619140625</v>
      </c>
      <c r="J56" s="1">
        <v>271.7373046875</v>
      </c>
      <c r="K56" s="1">
        <v>100.43091583251953</v>
      </c>
      <c r="M56" s="1">
        <v>575.42950439453125</v>
      </c>
      <c r="N56" s="1">
        <v>277.04034423828125</v>
      </c>
      <c r="O56" s="1">
        <v>132.01763916015625</v>
      </c>
    </row>
    <row r="57" spans="1:15">
      <c r="A57" s="1">
        <v>-229.75569152832031</v>
      </c>
      <c r="B57" s="1">
        <v>32.499412536621094</v>
      </c>
      <c r="C57" s="1">
        <v>372.09539794921875</v>
      </c>
      <c r="E57" s="1">
        <v>-646.11627197265625</v>
      </c>
      <c r="F57" s="1">
        <v>460.92434692382813</v>
      </c>
      <c r="G57" s="1">
        <v>138.48208618164063</v>
      </c>
      <c r="I57" s="1">
        <v>-401.38702392578125</v>
      </c>
      <c r="J57" s="1">
        <v>275.64456176757813</v>
      </c>
      <c r="K57" s="1">
        <v>256.00830078125</v>
      </c>
      <c r="M57" s="1">
        <v>-83.033126831054688</v>
      </c>
      <c r="N57" s="1">
        <v>142.60054016113281</v>
      </c>
      <c r="O57" s="1">
        <v>98.540252685546875</v>
      </c>
    </row>
    <row r="58" spans="1:15">
      <c r="A58" s="1">
        <v>95.3826904296875</v>
      </c>
      <c r="B58" s="1">
        <v>312.79241943359375</v>
      </c>
      <c r="C58" s="1">
        <v>1277.3836669921875</v>
      </c>
      <c r="E58" s="1">
        <v>171.88894653320313</v>
      </c>
      <c r="F58" s="1">
        <v>362.82574462890625</v>
      </c>
      <c r="G58" s="1">
        <v>-137.63824462890625</v>
      </c>
      <c r="I58" s="1">
        <v>-453.67977905273438</v>
      </c>
      <c r="J58" s="1">
        <v>-216.02630615234375</v>
      </c>
      <c r="K58" s="1">
        <v>-84.590110778808594</v>
      </c>
      <c r="M58" s="1">
        <v>-802.5582275390625</v>
      </c>
      <c r="N58" s="1">
        <v>-292.52676391601563</v>
      </c>
      <c r="O58" s="1">
        <v>-209.0933837890625</v>
      </c>
    </row>
    <row r="59" spans="1:15">
      <c r="A59" s="1">
        <v>-182.18203735351563</v>
      </c>
      <c r="B59" s="1">
        <v>487.79638671875</v>
      </c>
      <c r="C59" s="1">
        <v>1505.2032470703125</v>
      </c>
      <c r="E59" s="1">
        <v>589.2613525390625</v>
      </c>
      <c r="F59" s="1">
        <v>382.35992431640625</v>
      </c>
      <c r="G59" s="1">
        <v>-125.02420806884766</v>
      </c>
      <c r="I59" s="1">
        <v>-174.77719116210938</v>
      </c>
      <c r="J59" s="1">
        <v>-378.76748657226563</v>
      </c>
      <c r="K59" s="1">
        <v>-297.76272583007813</v>
      </c>
      <c r="M59" s="1">
        <v>-687.7630615234375</v>
      </c>
      <c r="N59" s="1">
        <v>-414.60720825195313</v>
      </c>
      <c r="O59" s="1">
        <v>-732.25830078125</v>
      </c>
    </row>
    <row r="60" spans="1:15">
      <c r="A60" s="1">
        <v>-166.08271789550781</v>
      </c>
      <c r="B60" s="1">
        <v>924.10504150390625</v>
      </c>
      <c r="C60" s="1">
        <v>1765.5618896484375</v>
      </c>
      <c r="E60" s="1">
        <v>1134.3056640625</v>
      </c>
      <c r="F60" s="1">
        <v>496.25741577148438</v>
      </c>
      <c r="G60" s="1">
        <v>274.8203125</v>
      </c>
      <c r="I60" s="1">
        <v>-115.41464996337891</v>
      </c>
      <c r="J60" s="1">
        <v>44.323356628417969</v>
      </c>
      <c r="K60" s="1">
        <v>-81.91192626953125</v>
      </c>
      <c r="M60" s="1">
        <v>-635.11627197265625</v>
      </c>
      <c r="N60" s="1">
        <v>-340.63296508789063</v>
      </c>
      <c r="O60" s="1">
        <v>-190.48565673828125</v>
      </c>
    </row>
    <row r="61" spans="1:15">
      <c r="A61" s="1">
        <v>259.9697265625</v>
      </c>
      <c r="B61" s="1">
        <v>659.89019775390625</v>
      </c>
      <c r="C61" s="1">
        <v>2526.66259765625</v>
      </c>
      <c r="E61" s="1">
        <v>1553.131103515625</v>
      </c>
      <c r="F61" s="1">
        <v>-214.4310302734375</v>
      </c>
      <c r="G61" s="1">
        <v>-78.257064819335938</v>
      </c>
      <c r="I61" s="1">
        <v>237.34437561035156</v>
      </c>
      <c r="J61" s="1">
        <v>-59.980327606201172</v>
      </c>
      <c r="K61" s="1">
        <v>-13.131421089172363</v>
      </c>
      <c r="M61" s="1">
        <v>-411.86013793945313</v>
      </c>
      <c r="N61" s="1">
        <v>19.614711761474609</v>
      </c>
      <c r="O61" s="1">
        <v>-175.72868347167969</v>
      </c>
    </row>
    <row r="62" spans="1:15">
      <c r="A62" s="1">
        <v>441.35812377929688</v>
      </c>
      <c r="B62" s="1">
        <v>679.3238525390625</v>
      </c>
      <c r="C62" s="1">
        <v>2718.763427734375</v>
      </c>
      <c r="E62" s="1">
        <v>1877.9488525390625</v>
      </c>
      <c r="F62" s="1">
        <v>-355.45150756835938</v>
      </c>
      <c r="G62" s="1">
        <v>-128.84223937988281</v>
      </c>
      <c r="I62" s="1">
        <v>449.4862060546875</v>
      </c>
      <c r="J62" s="1">
        <v>-178.36213684082031</v>
      </c>
      <c r="K62" s="1">
        <v>675.16864013671875</v>
      </c>
      <c r="M62" s="1">
        <v>-836.28369140625</v>
      </c>
      <c r="N62" s="1">
        <v>-177.75479125976563</v>
      </c>
      <c r="O62" s="1">
        <v>-223.59669494628906</v>
      </c>
    </row>
    <row r="63" spans="1:15">
      <c r="A63" s="1">
        <v>763.74261474609375</v>
      </c>
      <c r="B63" s="1">
        <v>1288.2496337890625</v>
      </c>
      <c r="C63" s="1">
        <v>2852.5361328125</v>
      </c>
      <c r="E63" s="1">
        <v>2190.6806640625</v>
      </c>
      <c r="F63" s="1">
        <v>231.32096862792969</v>
      </c>
      <c r="G63" s="1">
        <v>320.81866455078125</v>
      </c>
      <c r="I63" s="1">
        <v>408.9005126953125</v>
      </c>
      <c r="J63" s="1">
        <v>179.58027648925781</v>
      </c>
      <c r="K63" s="1">
        <v>458.04678344726563</v>
      </c>
      <c r="M63" s="1">
        <v>-463.47283935546875</v>
      </c>
      <c r="N63" s="1">
        <v>-897.999267578125</v>
      </c>
      <c r="O63" s="1">
        <v>508.5509033203125</v>
      </c>
    </row>
    <row r="64" spans="1:15">
      <c r="A64" s="1">
        <v>487.86538696289063</v>
      </c>
      <c r="B64" s="1">
        <v>1548.284912109375</v>
      </c>
      <c r="C64" s="1">
        <v>3189.183837890625</v>
      </c>
      <c r="E64" s="1">
        <v>2543.138916015625</v>
      </c>
      <c r="F64" s="1">
        <v>228.37469482421875</v>
      </c>
      <c r="G64" s="1">
        <v>246.41708374023438</v>
      </c>
      <c r="I64" s="1">
        <v>607.8558349609375</v>
      </c>
      <c r="J64" s="1">
        <v>84.983619689941406</v>
      </c>
      <c r="K64" s="1">
        <v>97.8819580078125</v>
      </c>
      <c r="M64" s="1">
        <v>-120.09169769287109</v>
      </c>
      <c r="N64" s="1">
        <v>-1114.5172119140625</v>
      </c>
      <c r="O64" s="1">
        <v>829.37042236328125</v>
      </c>
    </row>
    <row r="65" spans="1:15">
      <c r="A65" s="1">
        <v>-71.789199829101563</v>
      </c>
      <c r="B65" s="1">
        <v>1643.124755859375</v>
      </c>
      <c r="C65" s="1">
        <v>3452.18310546875</v>
      </c>
      <c r="E65" s="1">
        <v>2640.89404296875</v>
      </c>
      <c r="F65" s="1">
        <v>182.83076477050781</v>
      </c>
      <c r="G65" s="1">
        <v>234.2303466796875</v>
      </c>
      <c r="I65" s="1">
        <v>663.9605712890625</v>
      </c>
      <c r="J65" s="1">
        <v>-94.656005859375</v>
      </c>
      <c r="K65" s="1">
        <v>-49.497695922851563</v>
      </c>
      <c r="M65" s="1">
        <v>3.944077342748642E-2</v>
      </c>
      <c r="N65" s="1">
        <v>-782.36328125</v>
      </c>
      <c r="O65" s="1">
        <v>895.46331787109375</v>
      </c>
    </row>
    <row r="66" spans="1:15">
      <c r="A66" s="1">
        <v>-23.56486701965332</v>
      </c>
      <c r="B66" s="1">
        <v>1862.9881591796875</v>
      </c>
      <c r="C66" s="1">
        <v>4187.11962890625</v>
      </c>
      <c r="E66" s="1">
        <v>2491.0712890625</v>
      </c>
      <c r="F66" s="1">
        <v>459.75558471679688</v>
      </c>
      <c r="G66" s="1">
        <v>649.39129638671875</v>
      </c>
      <c r="I66" s="1">
        <v>161.45883178710938</v>
      </c>
      <c r="J66" s="1">
        <v>101.62233734130859</v>
      </c>
      <c r="K66" s="1">
        <v>94.712493896484375</v>
      </c>
      <c r="M66" s="1">
        <v>1922.1627197265625</v>
      </c>
      <c r="N66" s="1">
        <v>278.50936889648438</v>
      </c>
      <c r="O66" s="1">
        <v>2161.65771484375</v>
      </c>
    </row>
    <row r="67" spans="1:15">
      <c r="A67" s="1">
        <v>602.38604736328125</v>
      </c>
      <c r="B67" s="1">
        <v>2103.163818359375</v>
      </c>
      <c r="C67" s="1">
        <v>5425.455078125</v>
      </c>
      <c r="E67" s="1">
        <v>2659.373291015625</v>
      </c>
      <c r="F67" s="1">
        <v>114.875732421875</v>
      </c>
      <c r="G67" s="1">
        <v>914.33343505859375</v>
      </c>
      <c r="I67" s="1">
        <v>-68.186439514160156</v>
      </c>
      <c r="J67" s="1">
        <v>264.06866455078125</v>
      </c>
      <c r="K67" s="1">
        <v>55.414871215820313</v>
      </c>
      <c r="M67" s="1">
        <v>4907.6220703125</v>
      </c>
      <c r="N67" s="1">
        <v>2576.913330078125</v>
      </c>
      <c r="O67" s="1">
        <v>4614.1962890625</v>
      </c>
    </row>
    <row r="68" spans="1:15">
      <c r="A68" s="1">
        <v>1351.8486328125</v>
      </c>
      <c r="B68" s="1">
        <v>2638.19140625</v>
      </c>
      <c r="C68" s="1">
        <v>7190.6416015625</v>
      </c>
      <c r="E68" s="1">
        <v>3051.72998046875</v>
      </c>
      <c r="F68" s="1">
        <v>-662.312744140625</v>
      </c>
      <c r="G68" s="1">
        <v>2310.474853515625</v>
      </c>
      <c r="I68" s="1">
        <v>-70.797531127929688</v>
      </c>
      <c r="J68" s="1">
        <v>64.667312622070313</v>
      </c>
      <c r="K68" s="1">
        <v>-23.46478271484375</v>
      </c>
      <c r="M68" s="1">
        <v>10014.8154296875</v>
      </c>
      <c r="N68" s="1">
        <v>5910.2392578125</v>
      </c>
      <c r="O68" s="1">
        <v>9741.5546875</v>
      </c>
    </row>
    <row r="69" spans="1:15">
      <c r="A69" s="1">
        <v>2598.975341796875</v>
      </c>
      <c r="B69" s="1">
        <v>3902.8203125</v>
      </c>
      <c r="C69" s="1">
        <v>10206.796875</v>
      </c>
      <c r="E69" s="1">
        <v>3460.5244140625</v>
      </c>
      <c r="F69" s="1">
        <v>-948.02069091796875</v>
      </c>
      <c r="G69" s="1">
        <v>4828.2958984375</v>
      </c>
      <c r="I69" s="1">
        <v>-122.77776336669922</v>
      </c>
      <c r="J69" s="1">
        <v>-80.921524047851563</v>
      </c>
      <c r="K69" s="1">
        <v>-119.79756164550781</v>
      </c>
      <c r="M69" s="1">
        <v>20670.931640625</v>
      </c>
      <c r="N69" s="1">
        <v>12607.548828125</v>
      </c>
      <c r="O69" s="1">
        <v>18547.953125</v>
      </c>
    </row>
    <row r="70" spans="1:15">
      <c r="A70" s="1">
        <v>5400.08251953125</v>
      </c>
      <c r="B70" s="1">
        <v>6253.76171875</v>
      </c>
      <c r="C70" s="1">
        <v>15791.5302734375</v>
      </c>
      <c r="E70" s="1">
        <v>4165.37353515625</v>
      </c>
      <c r="F70" s="1">
        <v>-1052.0919189453125</v>
      </c>
      <c r="G70" s="1">
        <v>9452.265625</v>
      </c>
      <c r="I70" s="1">
        <v>25.685361862182617</v>
      </c>
      <c r="J70" s="1">
        <v>176.0286865234375</v>
      </c>
      <c r="K70" s="1">
        <v>-87.720184326171875</v>
      </c>
      <c r="M70" s="1">
        <v>40090.296875</v>
      </c>
      <c r="N70" s="1">
        <v>26140.8359375</v>
      </c>
      <c r="O70" s="1">
        <v>34982.421875</v>
      </c>
    </row>
    <row r="71" spans="1:15">
      <c r="A71" s="1">
        <v>9536.337890625</v>
      </c>
      <c r="B71" s="1">
        <v>10115.5859375</v>
      </c>
      <c r="C71" s="1">
        <v>26337.169921875</v>
      </c>
      <c r="E71" s="1">
        <v>3956.32373046875</v>
      </c>
      <c r="F71" s="1">
        <v>-932.31170654296875</v>
      </c>
      <c r="G71" s="1">
        <v>18518.62109375</v>
      </c>
      <c r="I71" s="1">
        <v>106.01372528076172</v>
      </c>
      <c r="J71" s="1">
        <v>194.38906860351563</v>
      </c>
      <c r="K71" s="1">
        <v>-315.521728515625</v>
      </c>
      <c r="M71" s="1">
        <v>76557.5</v>
      </c>
      <c r="N71" s="1">
        <v>49762.44140625</v>
      </c>
      <c r="O71" s="1">
        <v>63875.08984375</v>
      </c>
    </row>
    <row r="72" spans="1:15">
      <c r="A72" s="1">
        <v>15236.0859375</v>
      </c>
      <c r="B72" s="1">
        <v>15521.41015625</v>
      </c>
      <c r="C72" s="1">
        <v>41175.10546875</v>
      </c>
      <c r="E72" s="1">
        <v>4045.8212890625</v>
      </c>
      <c r="F72" s="1">
        <v>-13.019664764404297</v>
      </c>
      <c r="G72" s="1">
        <v>30007.748046875</v>
      </c>
      <c r="I72" s="1">
        <v>703.98956298828125</v>
      </c>
      <c r="J72" s="1">
        <v>413.20648193359375</v>
      </c>
      <c r="K72" s="1">
        <v>-439.5576171875</v>
      </c>
      <c r="M72" s="1">
        <v>123278.765625</v>
      </c>
      <c r="N72" s="1">
        <v>78380.875</v>
      </c>
      <c r="O72" s="1">
        <v>100843.4765625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sample1</vt:lpstr>
      <vt:lpstr>sample3</vt:lpstr>
      <vt:lpstr>sample5</vt:lpstr>
      <vt:lpstr>sample6</vt:lpstr>
      <vt:lpstr>sample7</vt:lpstr>
      <vt:lpstr>sample8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brcuser</dc:creator>
  <cp:lastModifiedBy>brcuser</cp:lastModifiedBy>
  <dcterms:created xsi:type="dcterms:W3CDTF">2021-05-01T06:35:50Z</dcterms:created>
  <dcterms:modified xsi:type="dcterms:W3CDTF">2021-05-01T07:47:54Z</dcterms:modified>
</cp:coreProperties>
</file>