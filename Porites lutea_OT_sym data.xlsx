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9"/>
  <workbookPr/>
  <mc:AlternateContent xmlns:mc="http://schemas.openxmlformats.org/markup-compatibility/2006">
    <mc:Choice Requires="x15">
      <x15ac:absPath xmlns:x15ac="http://schemas.microsoft.com/office/spreadsheetml/2010/11/ac" url="/Users/shashankkeshavmurthy/Downloads/"/>
    </mc:Choice>
  </mc:AlternateContent>
  <xr:revisionPtr revIDLastSave="0" documentId="13_ncr:1_{64F018B2-71A1-7847-8021-42825CB38998}" xr6:coauthVersionLast="47" xr6:coauthVersionMax="47" xr10:uidLastSave="{00000000-0000-0000-0000-000000000000}"/>
  <bookViews>
    <workbookView xWindow="0" yWindow="460" windowWidth="28540" windowHeight="16260" activeTab="5" xr2:uid="{00000000-000D-0000-FFFF-FFFF00000000}"/>
  </bookViews>
  <sheets>
    <sheet name="sample1" sheetId="1" r:id="rId1"/>
    <sheet name="sample4" sheetId="2" r:id="rId2"/>
    <sheet name="sample5" sheetId="3" r:id="rId3"/>
    <sheet name="sample6" sheetId="4" r:id="rId4"/>
    <sheet name="sample8" sheetId="5" r:id="rId5"/>
    <sheet name="sample9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35" i="6" l="1"/>
  <c r="AC36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" i="6"/>
  <c r="AC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" i="6"/>
  <c r="AB2" i="6"/>
  <c r="AA36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" i="6"/>
  <c r="AA2" i="6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" i="6"/>
  <c r="Z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" i="6"/>
  <c r="Y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" i="6"/>
  <c r="X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" i="6"/>
  <c r="W2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" i="6"/>
  <c r="V2" i="6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" i="5"/>
  <c r="U2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" i="5"/>
  <c r="AB2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" i="5"/>
  <c r="AA2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" i="5"/>
  <c r="Z2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" i="5"/>
  <c r="Y2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" i="5"/>
  <c r="X2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" i="5"/>
  <c r="W2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" i="5"/>
  <c r="V2" i="5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" i="4"/>
  <c r="AC2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" i="4"/>
  <c r="AB2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" i="4"/>
  <c r="AA2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2" i="4"/>
  <c r="Z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" i="4"/>
  <c r="Y2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" i="4"/>
  <c r="X2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" i="4"/>
  <c r="W2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" i="4"/>
  <c r="V2" i="4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" i="3"/>
  <c r="AC2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" i="3"/>
  <c r="AB2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" i="3"/>
  <c r="AA2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" i="3"/>
  <c r="Z2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" i="3"/>
  <c r="Y2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" i="3"/>
  <c r="X2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" i="3"/>
  <c r="W2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" i="3"/>
  <c r="V2" i="3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" i="2"/>
  <c r="AC2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" i="2"/>
  <c r="AB2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" i="2"/>
  <c r="AA2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" i="2"/>
  <c r="Z2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" i="2"/>
  <c r="Y2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" i="2"/>
  <c r="X2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" i="2"/>
  <c r="W2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" i="2"/>
  <c r="V2" i="2"/>
  <c r="AB4" i="1" l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" i="1"/>
  <c r="AB2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" i="1"/>
  <c r="AA2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" i="1"/>
  <c r="Z2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" i="1"/>
  <c r="Y2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" i="1"/>
  <c r="X2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" i="1"/>
  <c r="W2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" i="1"/>
  <c r="V2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" i="1"/>
  <c r="U2" i="1"/>
</calcChain>
</file>

<file path=xl/sharedStrings.xml><?xml version="1.0" encoding="utf-8"?>
<sst xmlns="http://schemas.openxmlformats.org/spreadsheetml/2006/main" count="48" uniqueCount="8">
  <si>
    <t>summer(C)</t>
  </si>
  <si>
    <t>winter(C)</t>
  </si>
  <si>
    <t>spring(C)</t>
  </si>
  <si>
    <t>fall(C)</t>
  </si>
  <si>
    <t>summer(D)</t>
  </si>
  <si>
    <t>winter(D)</t>
  </si>
  <si>
    <t>spring(D)</t>
  </si>
  <si>
    <t>fall(D)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</si>
</sst>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64" fontId="0" fillId="0" borderId="0" xfId="0" applyNumberFormat="1" applyAlignment="1"/>
    <xf numFmtId="0" fontId="0" fillId="0" borderId="0" xfId="0" applyAlignment="1"/>
    <xf numFmtId="3" fontId="0" fillId="0" borderId="0" xfId="0" applyNumberFormat="1" applyAlignment="1"/>
    <xf numFmtId="16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Porites</a:t>
            </a:r>
            <a:r>
              <a:rPr lang="en-US" altLang="zh-TW" baseline="0"/>
              <a:t> sample 1 outlet</a:t>
            </a:r>
          </a:p>
          <a:p>
            <a:pPr>
              <a:defRPr/>
            </a:pP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sample1!$U$1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sample1!$T$2:$T$36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sample1!$U$2:$U$36</c:f>
              <c:numCache>
                <c:formatCode>General</c:formatCode>
                <c:ptCount val="35"/>
                <c:pt idx="0" formatCode="#,##0.000">
                  <c:v>-1858.0905354817708</c:v>
                </c:pt>
                <c:pt idx="1">
                  <c:v>-1403.9730224609375</c:v>
                </c:pt>
                <c:pt idx="2" formatCode="#,##0.000">
                  <c:v>293.25647099812824</c:v>
                </c:pt>
                <c:pt idx="3">
                  <c:v>70.420880635579422</c:v>
                </c:pt>
                <c:pt idx="4" formatCode="#,##0.000">
                  <c:v>-290.01888529459637</c:v>
                </c:pt>
                <c:pt idx="5">
                  <c:v>-237.13573551177979</c:v>
                </c:pt>
                <c:pt idx="6" formatCode="#,##0.000">
                  <c:v>-114.37757364908855</c:v>
                </c:pt>
                <c:pt idx="7">
                  <c:v>76.539438883463546</c:v>
                </c:pt>
                <c:pt idx="8" formatCode="#,##0.000">
                  <c:v>113.37050374348958</c:v>
                </c:pt>
                <c:pt idx="9">
                  <c:v>480.49585405985516</c:v>
                </c:pt>
                <c:pt idx="10" formatCode="#,##0.000">
                  <c:v>1101.6029663085938</c:v>
                </c:pt>
                <c:pt idx="11">
                  <c:v>2417.8689778645835</c:v>
                </c:pt>
                <c:pt idx="12" formatCode="#,##0.000">
                  <c:v>4900.082763671875</c:v>
                </c:pt>
                <c:pt idx="13">
                  <c:v>9850.0465494791661</c:v>
                </c:pt>
                <c:pt idx="14" formatCode="#,##0.000">
                  <c:v>19520.130208333332</c:v>
                </c:pt>
                <c:pt idx="15">
                  <c:v>38417.481770833336</c:v>
                </c:pt>
                <c:pt idx="16" formatCode="#,##0.000">
                  <c:v>70901.760416666672</c:v>
                </c:pt>
                <c:pt idx="17">
                  <c:v>114406.86979166667</c:v>
                </c:pt>
                <c:pt idx="18" formatCode="#,##0.000">
                  <c:v>165361.75520833334</c:v>
                </c:pt>
                <c:pt idx="19">
                  <c:v>220813.93229166666</c:v>
                </c:pt>
                <c:pt idx="20" formatCode="#,##0.000">
                  <c:v>276525.46354166669</c:v>
                </c:pt>
                <c:pt idx="21">
                  <c:v>328602.16666666669</c:v>
                </c:pt>
                <c:pt idx="22" formatCode="#,##0.000">
                  <c:v>376659.36458333331</c:v>
                </c:pt>
                <c:pt idx="23">
                  <c:v>418422.92708333331</c:v>
                </c:pt>
                <c:pt idx="24" formatCode="#,##0.000">
                  <c:v>455244.40625</c:v>
                </c:pt>
                <c:pt idx="25">
                  <c:v>488464.53125</c:v>
                </c:pt>
                <c:pt idx="26" formatCode="#,##0.000">
                  <c:v>517992.36458333331</c:v>
                </c:pt>
                <c:pt idx="27">
                  <c:v>544581.46875</c:v>
                </c:pt>
                <c:pt idx="28" formatCode="#,##0.000">
                  <c:v>568117.54166666663</c:v>
                </c:pt>
                <c:pt idx="29">
                  <c:v>588706.33333333337</c:v>
                </c:pt>
                <c:pt idx="30" formatCode="#,##0.000">
                  <c:v>607224.95833333337</c:v>
                </c:pt>
                <c:pt idx="31">
                  <c:v>623802.89583333337</c:v>
                </c:pt>
                <c:pt idx="32" formatCode="#,##0.000">
                  <c:v>639577.77083333337</c:v>
                </c:pt>
                <c:pt idx="33">
                  <c:v>652508.41666666663</c:v>
                </c:pt>
                <c:pt idx="34" formatCode="#,##0.000">
                  <c:v>662780.45833333337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28-4F04-8483-AC910DF2A4C6}"/>
            </c:ext>
          </c:extLst>
        </c:ser>
        <c:ser>
          <c:idx val="1"/>
          <c:order val="1"/>
          <c:tx>
            <c:strRef>
              <c:f>sample1!$V$1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sample1!$T$2:$T$36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sample1!$V$2:$V$36</c:f>
              <c:numCache>
                <c:formatCode>#,##0.000</c:formatCode>
                <c:ptCount val="35"/>
                <c:pt idx="0" formatCode="General">
                  <c:v>-800.327392578125</c:v>
                </c:pt>
                <c:pt idx="1">
                  <c:v>-368.2701416015625</c:v>
                </c:pt>
                <c:pt idx="2" formatCode="General">
                  <c:v>-300.79103597005206</c:v>
                </c:pt>
                <c:pt idx="3">
                  <c:v>-172.19733683268228</c:v>
                </c:pt>
                <c:pt idx="4" formatCode="General">
                  <c:v>104.88726298014323</c:v>
                </c:pt>
                <c:pt idx="5">
                  <c:v>263.95231628417969</c:v>
                </c:pt>
                <c:pt idx="6" formatCode="General">
                  <c:v>286.7530517578125</c:v>
                </c:pt>
                <c:pt idx="7">
                  <c:v>183.36107953389487</c:v>
                </c:pt>
                <c:pt idx="8" formatCode="General">
                  <c:v>83.497749328613281</c:v>
                </c:pt>
                <c:pt idx="9">
                  <c:v>213.85187149047852</c:v>
                </c:pt>
                <c:pt idx="10" formatCode="General">
                  <c:v>10.830992380777994</c:v>
                </c:pt>
                <c:pt idx="11">
                  <c:v>-116.35264714558919</c:v>
                </c:pt>
                <c:pt idx="12" formatCode="General">
                  <c:v>8.3269920349121094</c:v>
                </c:pt>
                <c:pt idx="13">
                  <c:v>-14.269410133361816</c:v>
                </c:pt>
                <c:pt idx="14" formatCode="General">
                  <c:v>-27.440021514892578</c:v>
                </c:pt>
                <c:pt idx="15">
                  <c:v>109.66930643717448</c:v>
                </c:pt>
                <c:pt idx="16" formatCode="General">
                  <c:v>-72.039082845052079</c:v>
                </c:pt>
                <c:pt idx="17">
                  <c:v>-99.365956624348954</c:v>
                </c:pt>
                <c:pt idx="18" formatCode="General">
                  <c:v>-90.658958435058594</c:v>
                </c:pt>
                <c:pt idx="19">
                  <c:v>-118.20978291829427</c:v>
                </c:pt>
                <c:pt idx="20" formatCode="General">
                  <c:v>-289.23197364807129</c:v>
                </c:pt>
                <c:pt idx="21">
                  <c:v>-258.50676472981769</c:v>
                </c:pt>
                <c:pt idx="22" formatCode="General">
                  <c:v>-217.21122233072916</c:v>
                </c:pt>
                <c:pt idx="23">
                  <c:v>-18.456075032552082</c:v>
                </c:pt>
                <c:pt idx="24" formatCode="General">
                  <c:v>-175.94829305013022</c:v>
                </c:pt>
                <c:pt idx="25">
                  <c:v>-236.00953928629556</c:v>
                </c:pt>
                <c:pt idx="26" formatCode="General">
                  <c:v>165.57895406087241</c:v>
                </c:pt>
                <c:pt idx="27">
                  <c:v>291.31458282470703</c:v>
                </c:pt>
                <c:pt idx="28" formatCode="General">
                  <c:v>232.278076171875</c:v>
                </c:pt>
                <c:pt idx="29">
                  <c:v>82.084027608235672</c:v>
                </c:pt>
                <c:pt idx="30" formatCode="General">
                  <c:v>36.422523498535156</c:v>
                </c:pt>
                <c:pt idx="31">
                  <c:v>-205.70121765136719</c:v>
                </c:pt>
                <c:pt idx="32" formatCode="General">
                  <c:v>-60.681722005208336</c:v>
                </c:pt>
                <c:pt idx="33">
                  <c:v>400.26223754882812</c:v>
                </c:pt>
                <c:pt idx="34" formatCode="General">
                  <c:v>686.31950378417969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28-4F04-8483-AC910DF2A4C6}"/>
            </c:ext>
          </c:extLst>
        </c:ser>
        <c:ser>
          <c:idx val="2"/>
          <c:order val="2"/>
          <c:tx>
            <c:strRef>
              <c:f>sample1!$W$1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sample1!$T$2:$T$36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sample1!$W$2:$W$36</c:f>
              <c:numCache>
                <c:formatCode>#,##0.000</c:formatCode>
                <c:ptCount val="35"/>
                <c:pt idx="0">
                  <c:v>-2653.981160481771</c:v>
                </c:pt>
                <c:pt idx="1">
                  <c:v>-2166.6390991210938</c:v>
                </c:pt>
                <c:pt idx="2">
                  <c:v>-602.76588948567712</c:v>
                </c:pt>
                <c:pt idx="3">
                  <c:v>32.909474054972328</c:v>
                </c:pt>
                <c:pt idx="4">
                  <c:v>279.4546178181966</c:v>
                </c:pt>
                <c:pt idx="5">
                  <c:v>525.51017252604163</c:v>
                </c:pt>
                <c:pt idx="6">
                  <c:v>246.80530802408853</c:v>
                </c:pt>
                <c:pt idx="7">
                  <c:v>19.459824879964192</c:v>
                </c:pt>
                <c:pt idx="8">
                  <c:v>-256.74503580729169</c:v>
                </c:pt>
                <c:pt idx="9">
                  <c:v>-329.22594960530597</c:v>
                </c:pt>
                <c:pt idx="10">
                  <c:v>459.95981852213544</c:v>
                </c:pt>
                <c:pt idx="11">
                  <c:v>2514.353963216146</c:v>
                </c:pt>
                <c:pt idx="12">
                  <c:v>7841.529296875</c:v>
                </c:pt>
                <c:pt idx="13">
                  <c:v>17870.324869791668</c:v>
                </c:pt>
                <c:pt idx="14">
                  <c:v>31656.348958333332</c:v>
                </c:pt>
                <c:pt idx="15">
                  <c:v>49519.794270833336</c:v>
                </c:pt>
                <c:pt idx="16">
                  <c:v>72175.540364583328</c:v>
                </c:pt>
                <c:pt idx="17">
                  <c:v>97512.104166666672</c:v>
                </c:pt>
                <c:pt idx="18">
                  <c:v>123899.57291666667</c:v>
                </c:pt>
                <c:pt idx="19">
                  <c:v>150500.80208333334</c:v>
                </c:pt>
                <c:pt idx="20">
                  <c:v>175452.13541666666</c:v>
                </c:pt>
                <c:pt idx="21">
                  <c:v>198621.953125</c:v>
                </c:pt>
                <c:pt idx="22">
                  <c:v>220959.5625</c:v>
                </c:pt>
                <c:pt idx="23">
                  <c:v>241185.49479166666</c:v>
                </c:pt>
                <c:pt idx="24">
                  <c:v>259491.55729166666</c:v>
                </c:pt>
                <c:pt idx="25">
                  <c:v>276947.86458333331</c:v>
                </c:pt>
                <c:pt idx="26">
                  <c:v>292490.95833333331</c:v>
                </c:pt>
                <c:pt idx="27">
                  <c:v>306457.31770833331</c:v>
                </c:pt>
                <c:pt idx="28">
                  <c:v>319039.75520833331</c:v>
                </c:pt>
                <c:pt idx="29">
                  <c:v>330138.83854166669</c:v>
                </c:pt>
                <c:pt idx="30">
                  <c:v>339901.53645833331</c:v>
                </c:pt>
                <c:pt idx="31">
                  <c:v>348595.875</c:v>
                </c:pt>
                <c:pt idx="32">
                  <c:v>357396.38541666669</c:v>
                </c:pt>
                <c:pt idx="33">
                  <c:v>364591.40625</c:v>
                </c:pt>
                <c:pt idx="34">
                  <c:v>370419.65625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28-4F04-8483-AC910DF2A4C6}"/>
            </c:ext>
          </c:extLst>
        </c:ser>
        <c:ser>
          <c:idx val="3"/>
          <c:order val="3"/>
          <c:tx>
            <c:strRef>
              <c:f>sample1!$X$1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sample1!$T$2:$T$36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sample1!$X$2:$X$36</c:f>
              <c:numCache>
                <c:formatCode>#,##0.000</c:formatCode>
                <c:ptCount val="35"/>
                <c:pt idx="0" formatCode="General">
                  <c:v>-856.49232991536462</c:v>
                </c:pt>
                <c:pt idx="1">
                  <c:v>-640.76337345441186</c:v>
                </c:pt>
                <c:pt idx="2" formatCode="General">
                  <c:v>-191.23750559488931</c:v>
                </c:pt>
                <c:pt idx="3">
                  <c:v>-44.164792378743492</c:v>
                </c:pt>
                <c:pt idx="4" formatCode="General">
                  <c:v>168.71001688639322</c:v>
                </c:pt>
                <c:pt idx="5">
                  <c:v>287.09525299072266</c:v>
                </c:pt>
                <c:pt idx="6" formatCode="General">
                  <c:v>-0.48697789510091144</c:v>
                </c:pt>
                <c:pt idx="7">
                  <c:v>-259.8218053181966</c:v>
                </c:pt>
                <c:pt idx="8" formatCode="General">
                  <c:v>33.007425944010414</c:v>
                </c:pt>
                <c:pt idx="9">
                  <c:v>276.69082959492999</c:v>
                </c:pt>
                <c:pt idx="10" formatCode="General">
                  <c:v>364.90678914388019</c:v>
                </c:pt>
                <c:pt idx="11">
                  <c:v>736.82454427083337</c:v>
                </c:pt>
                <c:pt idx="12" formatCode="General">
                  <c:v>2228.0157470703125</c:v>
                </c:pt>
                <c:pt idx="13">
                  <c:v>5661.541666666667</c:v>
                </c:pt>
                <c:pt idx="14" formatCode="General">
                  <c:v>11939.686197916666</c:v>
                </c:pt>
                <c:pt idx="15">
                  <c:v>23838.667317708332</c:v>
                </c:pt>
                <c:pt idx="16" formatCode="General">
                  <c:v>46193.276041666664</c:v>
                </c:pt>
                <c:pt idx="17">
                  <c:v>83134.557291666672</c:v>
                </c:pt>
                <c:pt idx="18" formatCode="General">
                  <c:v>139199.05208333334</c:v>
                </c:pt>
                <c:pt idx="19">
                  <c:v>207954.54166666666</c:v>
                </c:pt>
                <c:pt idx="20" formatCode="General">
                  <c:v>276381.77604166669</c:v>
                </c:pt>
                <c:pt idx="21">
                  <c:v>338217.39583333331</c:v>
                </c:pt>
                <c:pt idx="22" formatCode="General">
                  <c:v>391456.23958333331</c:v>
                </c:pt>
                <c:pt idx="23">
                  <c:v>435949.25</c:v>
                </c:pt>
                <c:pt idx="24" formatCode="General">
                  <c:v>473366.95833333331</c:v>
                </c:pt>
                <c:pt idx="25">
                  <c:v>504431.625</c:v>
                </c:pt>
                <c:pt idx="26" formatCode="General">
                  <c:v>530787.84375</c:v>
                </c:pt>
                <c:pt idx="27">
                  <c:v>552237.875</c:v>
                </c:pt>
                <c:pt idx="28" formatCode="General">
                  <c:v>570545.16666666663</c:v>
                </c:pt>
                <c:pt idx="29">
                  <c:v>585795.5</c:v>
                </c:pt>
                <c:pt idx="30" formatCode="General">
                  <c:v>598383.95833333337</c:v>
                </c:pt>
                <c:pt idx="31">
                  <c:v>609416.625</c:v>
                </c:pt>
                <c:pt idx="32" formatCode="General">
                  <c:v>618085.60416666663</c:v>
                </c:pt>
                <c:pt idx="33">
                  <c:v>625063.5</c:v>
                </c:pt>
                <c:pt idx="34" formatCode="General">
                  <c:v>629917.4375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228-4F04-8483-AC910DF2A4C6}"/>
            </c:ext>
          </c:extLst>
        </c:ser>
        <c:ser>
          <c:idx val="4"/>
          <c:order val="4"/>
          <c:tx>
            <c:strRef>
              <c:f>sample1!$Y$1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sample1!$Y$2:$Y$36</c:f>
              <c:numCache>
                <c:formatCode>#,##0.000</c:formatCode>
                <c:ptCount val="35"/>
                <c:pt idx="0">
                  <c:v>-1188.889404296875</c:v>
                </c:pt>
                <c:pt idx="1">
                  <c:v>-878.5369873046875</c:v>
                </c:pt>
                <c:pt idx="2">
                  <c:v>45.016021728515625</c:v>
                </c:pt>
                <c:pt idx="3">
                  <c:v>42.227976481119789</c:v>
                </c:pt>
                <c:pt idx="4">
                  <c:v>-829.49759928385413</c:v>
                </c:pt>
                <c:pt idx="5">
                  <c:v>-512.61124674479163</c:v>
                </c:pt>
                <c:pt idx="6">
                  <c:v>-241.21970621744791</c:v>
                </c:pt>
                <c:pt idx="7">
                  <c:v>312.73439534505206</c:v>
                </c:pt>
                <c:pt idx="8">
                  <c:v>295.2509765625</c:v>
                </c:pt>
                <c:pt idx="9">
                  <c:v>421.88216145833331</c:v>
                </c:pt>
                <c:pt idx="10">
                  <c:v>447.23988850911456</c:v>
                </c:pt>
                <c:pt idx="11">
                  <c:v>713.66792297363281</c:v>
                </c:pt>
                <c:pt idx="12">
                  <c:v>391.41625785827637</c:v>
                </c:pt>
                <c:pt idx="13">
                  <c:v>42.409403483072914</c:v>
                </c:pt>
                <c:pt idx="14">
                  <c:v>-203.13911946614584</c:v>
                </c:pt>
                <c:pt idx="15">
                  <c:v>257.33578999837238</c:v>
                </c:pt>
                <c:pt idx="16">
                  <c:v>436.29505411783856</c:v>
                </c:pt>
                <c:pt idx="17">
                  <c:v>515.53298950195312</c:v>
                </c:pt>
                <c:pt idx="18">
                  <c:v>468.53398640950519</c:v>
                </c:pt>
                <c:pt idx="19">
                  <c:v>1804.8395385742188</c:v>
                </c:pt>
                <c:pt idx="20">
                  <c:v>4253.634928385417</c:v>
                </c:pt>
                <c:pt idx="21">
                  <c:v>6800.109700520833</c:v>
                </c:pt>
                <c:pt idx="22">
                  <c:v>12828.23828125</c:v>
                </c:pt>
                <c:pt idx="23">
                  <c:v>24224.109375</c:v>
                </c:pt>
                <c:pt idx="24">
                  <c:v>44437.12109375</c:v>
                </c:pt>
                <c:pt idx="25">
                  <c:v>78526.966145833328</c:v>
                </c:pt>
                <c:pt idx="26">
                  <c:v>126496.0234375</c:v>
                </c:pt>
                <c:pt idx="27">
                  <c:v>184990.06770833334</c:v>
                </c:pt>
                <c:pt idx="28">
                  <c:v>247942.83854166666</c:v>
                </c:pt>
                <c:pt idx="29">
                  <c:v>311311.51041666669</c:v>
                </c:pt>
                <c:pt idx="30">
                  <c:v>370077.52083333331</c:v>
                </c:pt>
                <c:pt idx="31">
                  <c:v>423794.69791666669</c:v>
                </c:pt>
                <c:pt idx="32">
                  <c:v>471407.28125</c:v>
                </c:pt>
                <c:pt idx="33">
                  <c:v>513531.0625</c:v>
                </c:pt>
                <c:pt idx="34">
                  <c:v>544922.69791666663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228-4F04-8483-AC910DF2A4C6}"/>
            </c:ext>
          </c:extLst>
        </c:ser>
        <c:ser>
          <c:idx val="5"/>
          <c:order val="5"/>
          <c:tx>
            <c:strRef>
              <c:f>sample1!$Z$1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sample1!$Z$2:$Z$36</c:f>
              <c:numCache>
                <c:formatCode>#,##0.000</c:formatCode>
                <c:ptCount val="35"/>
                <c:pt idx="0">
                  <c:v>860.06433614095056</c:v>
                </c:pt>
                <c:pt idx="1">
                  <c:v>-3587.8986002604165</c:v>
                </c:pt>
                <c:pt idx="2">
                  <c:v>570.34051005045569</c:v>
                </c:pt>
                <c:pt idx="3">
                  <c:v>-921.58133951822913</c:v>
                </c:pt>
                <c:pt idx="4">
                  <c:v>323.47082773844403</c:v>
                </c:pt>
                <c:pt idx="5">
                  <c:v>659.06411743164062</c:v>
                </c:pt>
                <c:pt idx="6">
                  <c:v>-275.87278747558594</c:v>
                </c:pt>
                <c:pt idx="7">
                  <c:v>895.12105305989587</c:v>
                </c:pt>
                <c:pt idx="8">
                  <c:v>93.437232971191406</c:v>
                </c:pt>
                <c:pt idx="9">
                  <c:v>542.89670817057288</c:v>
                </c:pt>
                <c:pt idx="10">
                  <c:v>50.566261291503906</c:v>
                </c:pt>
                <c:pt idx="11">
                  <c:v>510.65673828125</c:v>
                </c:pt>
                <c:pt idx="12">
                  <c:v>-187.94793192545572</c:v>
                </c:pt>
                <c:pt idx="13">
                  <c:v>-1109.4998982747395</c:v>
                </c:pt>
                <c:pt idx="14">
                  <c:v>-450.18609619140625</c:v>
                </c:pt>
                <c:pt idx="15">
                  <c:v>-432.33878580729169</c:v>
                </c:pt>
                <c:pt idx="16">
                  <c:v>-43.628669738769531</c:v>
                </c:pt>
                <c:pt idx="17">
                  <c:v>2447.0359751383462</c:v>
                </c:pt>
                <c:pt idx="18">
                  <c:v>-17.00615119934082</c:v>
                </c:pt>
                <c:pt idx="19">
                  <c:v>9159.8115234375</c:v>
                </c:pt>
                <c:pt idx="20">
                  <c:v>-42.064620971679688</c:v>
                </c:pt>
                <c:pt idx="21">
                  <c:v>33553.233072916664</c:v>
                </c:pt>
                <c:pt idx="22">
                  <c:v>-238.57492065429688</c:v>
                </c:pt>
                <c:pt idx="23">
                  <c:v>78467.453125</c:v>
                </c:pt>
                <c:pt idx="24">
                  <c:v>-365.21150207519531</c:v>
                </c:pt>
                <c:pt idx="25">
                  <c:v>139955.63020833334</c:v>
                </c:pt>
                <c:pt idx="26">
                  <c:v>33.114139238993324</c:v>
                </c:pt>
                <c:pt idx="27">
                  <c:v>206481.07291666666</c:v>
                </c:pt>
                <c:pt idx="28">
                  <c:v>-62.074544270833336</c:v>
                </c:pt>
                <c:pt idx="29">
                  <c:v>269223.19270833331</c:v>
                </c:pt>
                <c:pt idx="30">
                  <c:v>310.54147466023761</c:v>
                </c:pt>
                <c:pt idx="31">
                  <c:v>324552.55208333331</c:v>
                </c:pt>
                <c:pt idx="32">
                  <c:v>254.27466583251953</c:v>
                </c:pt>
                <c:pt idx="33">
                  <c:v>370489.41666666669</c:v>
                </c:pt>
                <c:pt idx="34">
                  <c:v>451.78130594889325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228-4F04-8483-AC910DF2A4C6}"/>
            </c:ext>
          </c:extLst>
        </c:ser>
        <c:ser>
          <c:idx val="6"/>
          <c:order val="6"/>
          <c:tx>
            <c:strRef>
              <c:f>sample1!$AA$1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sample1!$AA$2:$AA$36</c:f>
              <c:numCache>
                <c:formatCode>General</c:formatCode>
                <c:ptCount val="35"/>
                <c:pt idx="0">
                  <c:v>-3943.4974772135415</c:v>
                </c:pt>
                <c:pt idx="1">
                  <c:v>-3587.8986002604165</c:v>
                </c:pt>
                <c:pt idx="2">
                  <c:v>-1791.935302734375</c:v>
                </c:pt>
                <c:pt idx="3">
                  <c:v>-921.58133951822913</c:v>
                </c:pt>
                <c:pt idx="4">
                  <c:v>-24.25860595703125</c:v>
                </c:pt>
                <c:pt idx="5">
                  <c:v>659.06411743164062</c:v>
                </c:pt>
                <c:pt idx="6">
                  <c:v>980.29311116536462</c:v>
                </c:pt>
                <c:pt idx="7">
                  <c:v>895.12105305989587</c:v>
                </c:pt>
                <c:pt idx="8">
                  <c:v>1021.448964436849</c:v>
                </c:pt>
                <c:pt idx="9">
                  <c:v>542.89670817057288</c:v>
                </c:pt>
                <c:pt idx="10">
                  <c:v>566.66216023763025</c:v>
                </c:pt>
                <c:pt idx="11">
                  <c:v>510.65673828125</c:v>
                </c:pt>
                <c:pt idx="12">
                  <c:v>-91.40594482421875</c:v>
                </c:pt>
                <c:pt idx="13">
                  <c:v>-1109.4998982747395</c:v>
                </c:pt>
                <c:pt idx="14">
                  <c:v>-1406.4688313802083</c:v>
                </c:pt>
                <c:pt idx="15">
                  <c:v>-432.33878580729169</c:v>
                </c:pt>
                <c:pt idx="16">
                  <c:v>1684.103759765625</c:v>
                </c:pt>
                <c:pt idx="17">
                  <c:v>2447.0359751383462</c:v>
                </c:pt>
                <c:pt idx="18">
                  <c:v>4322.84814453125</c:v>
                </c:pt>
                <c:pt idx="19">
                  <c:v>9159.8115234375</c:v>
                </c:pt>
                <c:pt idx="20">
                  <c:v>18912.373697916668</c:v>
                </c:pt>
                <c:pt idx="21">
                  <c:v>33553.233072916664</c:v>
                </c:pt>
                <c:pt idx="22">
                  <c:v>53976.53515625</c:v>
                </c:pt>
                <c:pt idx="23">
                  <c:v>78467.453125</c:v>
                </c:pt>
                <c:pt idx="24">
                  <c:v>107227.28385416667</c:v>
                </c:pt>
                <c:pt idx="25">
                  <c:v>139955.63020833334</c:v>
                </c:pt>
                <c:pt idx="26">
                  <c:v>173533.953125</c:v>
                </c:pt>
                <c:pt idx="27">
                  <c:v>206481.07291666666</c:v>
                </c:pt>
                <c:pt idx="28">
                  <c:v>238706.328125</c:v>
                </c:pt>
                <c:pt idx="29">
                  <c:v>269223.19270833331</c:v>
                </c:pt>
                <c:pt idx="30">
                  <c:v>298183.71875</c:v>
                </c:pt>
                <c:pt idx="31">
                  <c:v>324552.55208333331</c:v>
                </c:pt>
                <c:pt idx="32">
                  <c:v>348373.15625</c:v>
                </c:pt>
                <c:pt idx="33">
                  <c:v>370489.41666666669</c:v>
                </c:pt>
                <c:pt idx="34">
                  <c:v>387914.0625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228-4F04-8483-AC910DF2A4C6}"/>
            </c:ext>
          </c:extLst>
        </c:ser>
        <c:ser>
          <c:idx val="7"/>
          <c:order val="7"/>
          <c:tx>
            <c:strRef>
              <c:f>sample1!$AB$1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sample1!$T$2:$T$36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sample1!$AB$2:$AB$36</c:f>
              <c:numCache>
                <c:formatCode>General</c:formatCode>
                <c:ptCount val="35"/>
                <c:pt idx="0">
                  <c:v>314.17322794596356</c:v>
                </c:pt>
                <c:pt idx="1">
                  <c:v>316.52818806966144</c:v>
                </c:pt>
                <c:pt idx="2">
                  <c:v>69.321922302246094</c:v>
                </c:pt>
                <c:pt idx="3">
                  <c:v>-141.89472834269205</c:v>
                </c:pt>
                <c:pt idx="4">
                  <c:v>-33.996813456217446</c:v>
                </c:pt>
                <c:pt idx="5">
                  <c:v>54.023499170939125</c:v>
                </c:pt>
                <c:pt idx="6">
                  <c:v>40.383657455444336</c:v>
                </c:pt>
                <c:pt idx="7">
                  <c:v>78.622731526692704</c:v>
                </c:pt>
                <c:pt idx="8">
                  <c:v>-117.87778663635254</c:v>
                </c:pt>
                <c:pt idx="9">
                  <c:v>-179.91215387980142</c:v>
                </c:pt>
                <c:pt idx="10">
                  <c:v>1.7722193400065105</c:v>
                </c:pt>
                <c:pt idx="11">
                  <c:v>227.07378896077475</c:v>
                </c:pt>
                <c:pt idx="12">
                  <c:v>183.26988983154297</c:v>
                </c:pt>
                <c:pt idx="13">
                  <c:v>-45.95068359375</c:v>
                </c:pt>
                <c:pt idx="14">
                  <c:v>-10.278025309244791</c:v>
                </c:pt>
                <c:pt idx="15">
                  <c:v>111.11468760172527</c:v>
                </c:pt>
                <c:pt idx="16">
                  <c:v>246.81730143229166</c:v>
                </c:pt>
                <c:pt idx="17">
                  <c:v>586.0081787109375</c:v>
                </c:pt>
                <c:pt idx="18">
                  <c:v>1373.60400390625</c:v>
                </c:pt>
                <c:pt idx="19">
                  <c:v>3034.077392578125</c:v>
                </c:pt>
                <c:pt idx="20">
                  <c:v>5260.487141927083</c:v>
                </c:pt>
                <c:pt idx="21">
                  <c:v>9654.9827473958339</c:v>
                </c:pt>
                <c:pt idx="22">
                  <c:v>17968.975911458332</c:v>
                </c:pt>
                <c:pt idx="23">
                  <c:v>33231.952473958336</c:v>
                </c:pt>
                <c:pt idx="24">
                  <c:v>60724.302083333336</c:v>
                </c:pt>
                <c:pt idx="25">
                  <c:v>106296.55729166667</c:v>
                </c:pt>
                <c:pt idx="26">
                  <c:v>172670.06770833334</c:v>
                </c:pt>
                <c:pt idx="27">
                  <c:v>253253.5625</c:v>
                </c:pt>
                <c:pt idx="28">
                  <c:v>333633.04166666669</c:v>
                </c:pt>
                <c:pt idx="29">
                  <c:v>405711.73958333331</c:v>
                </c:pt>
                <c:pt idx="30">
                  <c:v>465820.63541666669</c:v>
                </c:pt>
                <c:pt idx="31">
                  <c:v>514822.22916666669</c:v>
                </c:pt>
                <c:pt idx="32">
                  <c:v>554377.89583333337</c:v>
                </c:pt>
                <c:pt idx="33">
                  <c:v>585597.66666666663</c:v>
                </c:pt>
                <c:pt idx="34">
                  <c:v>607906.625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228-4F04-8483-AC910DF2A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202464"/>
        <c:axId val="270206208"/>
      </c:scatterChart>
      <c:valAx>
        <c:axId val="270202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270206208"/>
        <c:crosses val="autoZero"/>
        <c:crossBetween val="midCat"/>
      </c:valAx>
      <c:valAx>
        <c:axId val="27020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270202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400" b="0" i="0" u="none" strike="noStrike" baseline="0">
                <a:effectLst/>
              </a:rPr>
              <a:t>Porites sample 4 outle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sample4!$V$1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sample4!$U$2:$U$36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sample4!$V$2:$V$36</c:f>
              <c:numCache>
                <c:formatCode>General</c:formatCode>
                <c:ptCount val="35"/>
                <c:pt idx="0" formatCode="#,##0.000">
                  <c:v>-903.21872965494788</c:v>
                </c:pt>
                <c:pt idx="1">
                  <c:v>-630.30733744303382</c:v>
                </c:pt>
                <c:pt idx="2" formatCode="#,##0.000">
                  <c:v>-265.87249501546222</c:v>
                </c:pt>
                <c:pt idx="3">
                  <c:v>155.72901407877603</c:v>
                </c:pt>
                <c:pt idx="4" formatCode="#,##0.000">
                  <c:v>-108.09137217203777</c:v>
                </c:pt>
                <c:pt idx="5">
                  <c:v>92.236704508463546</c:v>
                </c:pt>
                <c:pt idx="6" formatCode="#,##0.000">
                  <c:v>285.18195088704425</c:v>
                </c:pt>
                <c:pt idx="7">
                  <c:v>137.38761393229166</c:v>
                </c:pt>
                <c:pt idx="8" formatCode="#,##0.000">
                  <c:v>131.4109967549642</c:v>
                </c:pt>
                <c:pt idx="9">
                  <c:v>371.6192626953125</c:v>
                </c:pt>
                <c:pt idx="10" formatCode="#,##0.000">
                  <c:v>755.30411783854163</c:v>
                </c:pt>
                <c:pt idx="11">
                  <c:v>1482.2831624348958</c:v>
                </c:pt>
                <c:pt idx="12" formatCode="#,##0.000">
                  <c:v>2720.8560791015625</c:v>
                </c:pt>
                <c:pt idx="13">
                  <c:v>4941.092936197917</c:v>
                </c:pt>
                <c:pt idx="14" formatCode="#,##0.000">
                  <c:v>9775.8557942708339</c:v>
                </c:pt>
                <c:pt idx="15">
                  <c:v>18980.163411458332</c:v>
                </c:pt>
                <c:pt idx="16" formatCode="#,##0.000">
                  <c:v>34320.315104166664</c:v>
                </c:pt>
                <c:pt idx="17">
                  <c:v>57738.7421875</c:v>
                </c:pt>
                <c:pt idx="18" formatCode="#,##0.000">
                  <c:v>89191.876302083328</c:v>
                </c:pt>
                <c:pt idx="19">
                  <c:v>125974.8046875</c:v>
                </c:pt>
                <c:pt idx="20" formatCode="#,##0.000">
                  <c:v>165769.02604166666</c:v>
                </c:pt>
                <c:pt idx="21">
                  <c:v>206893.83854166666</c:v>
                </c:pt>
                <c:pt idx="22" formatCode="#,##0.000">
                  <c:v>247382.71875</c:v>
                </c:pt>
                <c:pt idx="23">
                  <c:v>286194.41666666669</c:v>
                </c:pt>
                <c:pt idx="24" formatCode="#,##0.000">
                  <c:v>322824.28645833331</c:v>
                </c:pt>
                <c:pt idx="25">
                  <c:v>355711.32291666669</c:v>
                </c:pt>
                <c:pt idx="26" formatCode="#,##0.000">
                  <c:v>386678.80208333331</c:v>
                </c:pt>
                <c:pt idx="27">
                  <c:v>414666.11458333331</c:v>
                </c:pt>
                <c:pt idx="28" formatCode="#,##0.000">
                  <c:v>440539.13541666669</c:v>
                </c:pt>
                <c:pt idx="29">
                  <c:v>464525.91666666669</c:v>
                </c:pt>
                <c:pt idx="30" formatCode="#,##0.000">
                  <c:v>486919.91666666669</c:v>
                </c:pt>
                <c:pt idx="31">
                  <c:v>507245.83333333331</c:v>
                </c:pt>
                <c:pt idx="32" formatCode="#,##0.000">
                  <c:v>525823.375</c:v>
                </c:pt>
                <c:pt idx="33">
                  <c:v>541896.5625</c:v>
                </c:pt>
                <c:pt idx="34" formatCode="#,##0.000">
                  <c:v>554873.71875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99-4428-AB65-77CE270A62E1}"/>
            </c:ext>
          </c:extLst>
        </c:ser>
        <c:ser>
          <c:idx val="1"/>
          <c:order val="1"/>
          <c:tx>
            <c:strRef>
              <c:f>sample4!$W$1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sample4!$U$2:$U$36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sample4!$W$2:$W$36</c:f>
              <c:numCache>
                <c:formatCode>#,##0.000</c:formatCode>
                <c:ptCount val="35"/>
                <c:pt idx="0">
                  <c:v>-2234.1844609578452</c:v>
                </c:pt>
                <c:pt idx="1">
                  <c:v>-1508.9601236979167</c:v>
                </c:pt>
                <c:pt idx="2">
                  <c:v>-588.090087890625</c:v>
                </c:pt>
                <c:pt idx="3">
                  <c:v>-135.04417928059897</c:v>
                </c:pt>
                <c:pt idx="4">
                  <c:v>-37.510045369466148</c:v>
                </c:pt>
                <c:pt idx="5">
                  <c:v>-46.466796875</c:v>
                </c:pt>
                <c:pt idx="6">
                  <c:v>175.75875854492188</c:v>
                </c:pt>
                <c:pt idx="7">
                  <c:v>213.36453755696616</c:v>
                </c:pt>
                <c:pt idx="8">
                  <c:v>63.907796223958336</c:v>
                </c:pt>
                <c:pt idx="9">
                  <c:v>-12.042429606119791</c:v>
                </c:pt>
                <c:pt idx="10">
                  <c:v>-50.775217692057289</c:v>
                </c:pt>
                <c:pt idx="11">
                  <c:v>-126.81006749471028</c:v>
                </c:pt>
                <c:pt idx="12">
                  <c:v>-122.91133626302083</c:v>
                </c:pt>
                <c:pt idx="13">
                  <c:v>160.86629231770834</c:v>
                </c:pt>
                <c:pt idx="14">
                  <c:v>249.15435218811035</c:v>
                </c:pt>
                <c:pt idx="15">
                  <c:v>257.34605916341144</c:v>
                </c:pt>
                <c:pt idx="16">
                  <c:v>250.35025024414062</c:v>
                </c:pt>
                <c:pt idx="17">
                  <c:v>274.89872487386066</c:v>
                </c:pt>
                <c:pt idx="18">
                  <c:v>366.98887125651044</c:v>
                </c:pt>
                <c:pt idx="19">
                  <c:v>809.11417134602868</c:v>
                </c:pt>
                <c:pt idx="20">
                  <c:v>1357.9660568237305</c:v>
                </c:pt>
                <c:pt idx="21">
                  <c:v>1875.9649950663249</c:v>
                </c:pt>
                <c:pt idx="22">
                  <c:v>2925.8688761393228</c:v>
                </c:pt>
                <c:pt idx="23">
                  <c:v>4377.2870839436846</c:v>
                </c:pt>
                <c:pt idx="24">
                  <c:v>6250.7352396647138</c:v>
                </c:pt>
                <c:pt idx="25">
                  <c:v>8792.3122965494786</c:v>
                </c:pt>
                <c:pt idx="26">
                  <c:v>11977.999394734701</c:v>
                </c:pt>
                <c:pt idx="27">
                  <c:v>16103.024373372396</c:v>
                </c:pt>
                <c:pt idx="28">
                  <c:v>21208.20299275716</c:v>
                </c:pt>
                <c:pt idx="29">
                  <c:v>27243.142018636066</c:v>
                </c:pt>
                <c:pt idx="30">
                  <c:v>34354.939128875732</c:v>
                </c:pt>
                <c:pt idx="31">
                  <c:v>42315.202407836914</c:v>
                </c:pt>
                <c:pt idx="32">
                  <c:v>50919.489095052086</c:v>
                </c:pt>
                <c:pt idx="33">
                  <c:v>60283.176859537758</c:v>
                </c:pt>
                <c:pt idx="34">
                  <c:v>68913.92710367839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99-4428-AB65-77CE270A62E1}"/>
            </c:ext>
          </c:extLst>
        </c:ser>
        <c:ser>
          <c:idx val="2"/>
          <c:order val="2"/>
          <c:tx>
            <c:strRef>
              <c:f>sample4!$X$1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sample4!$U$2:$U$36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sample4!$X$2:$X$36</c:f>
              <c:numCache>
                <c:formatCode>General</c:formatCode>
                <c:ptCount val="35"/>
                <c:pt idx="0">
                  <c:v>-2020.610595703125</c:v>
                </c:pt>
                <c:pt idx="1">
                  <c:v>-910.88339233398438</c:v>
                </c:pt>
                <c:pt idx="2">
                  <c:v>-55.833269755045571</c:v>
                </c:pt>
                <c:pt idx="3">
                  <c:v>81.758506774902344</c:v>
                </c:pt>
                <c:pt idx="4">
                  <c:v>-124.0924261411031</c:v>
                </c:pt>
                <c:pt idx="5">
                  <c:v>-14.302726745605469</c:v>
                </c:pt>
                <c:pt idx="6">
                  <c:v>223.60155550638834</c:v>
                </c:pt>
                <c:pt idx="7">
                  <c:v>-41.499382019042969</c:v>
                </c:pt>
                <c:pt idx="8">
                  <c:v>35.342391967773438</c:v>
                </c:pt>
                <c:pt idx="9">
                  <c:v>154.79876708984375</c:v>
                </c:pt>
                <c:pt idx="10">
                  <c:v>773.17180379231775</c:v>
                </c:pt>
                <c:pt idx="11">
                  <c:v>2103.9875284830728</c:v>
                </c:pt>
                <c:pt idx="12">
                  <c:v>4389.751220703125</c:v>
                </c:pt>
                <c:pt idx="13">
                  <c:v>9127.3898111979161</c:v>
                </c:pt>
                <c:pt idx="14">
                  <c:v>16928.7421875</c:v>
                </c:pt>
                <c:pt idx="15">
                  <c:v>29205.859375</c:v>
                </c:pt>
                <c:pt idx="16">
                  <c:v>47316.696614583336</c:v>
                </c:pt>
                <c:pt idx="17">
                  <c:v>69092.638020833328</c:v>
                </c:pt>
                <c:pt idx="18">
                  <c:v>94504.182291666672</c:v>
                </c:pt>
                <c:pt idx="19">
                  <c:v>121997.93489583333</c:v>
                </c:pt>
                <c:pt idx="20">
                  <c:v>150072.390625</c:v>
                </c:pt>
                <c:pt idx="21">
                  <c:v>178098.54166666666</c:v>
                </c:pt>
                <c:pt idx="22">
                  <c:v>206046.32291666666</c:v>
                </c:pt>
                <c:pt idx="23">
                  <c:v>232977.56770833334</c:v>
                </c:pt>
                <c:pt idx="24">
                  <c:v>257845.26041666666</c:v>
                </c:pt>
                <c:pt idx="25">
                  <c:v>281385.66666666669</c:v>
                </c:pt>
                <c:pt idx="26">
                  <c:v>303567.84375</c:v>
                </c:pt>
                <c:pt idx="27">
                  <c:v>324598.20833333331</c:v>
                </c:pt>
                <c:pt idx="28">
                  <c:v>343666.04166666669</c:v>
                </c:pt>
                <c:pt idx="29">
                  <c:v>361542.48958333331</c:v>
                </c:pt>
                <c:pt idx="30">
                  <c:v>377763.5</c:v>
                </c:pt>
                <c:pt idx="31">
                  <c:v>393346.07291666669</c:v>
                </c:pt>
                <c:pt idx="32">
                  <c:v>407780.88541666669</c:v>
                </c:pt>
                <c:pt idx="33">
                  <c:v>421685.55208333331</c:v>
                </c:pt>
                <c:pt idx="34">
                  <c:v>432590.13541666669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99-4428-AB65-77CE270A62E1}"/>
            </c:ext>
          </c:extLst>
        </c:ser>
        <c:ser>
          <c:idx val="3"/>
          <c:order val="3"/>
          <c:tx>
            <c:strRef>
              <c:f>sample4!$Y$1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sample4!$U$2:$U$36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sample4!$Y$2:$Y$36</c:f>
              <c:numCache>
                <c:formatCode>#,##0.000</c:formatCode>
                <c:ptCount val="35"/>
                <c:pt idx="0" formatCode="General">
                  <c:v>-1925.8383483886719</c:v>
                </c:pt>
                <c:pt idx="1">
                  <c:v>-1550.9569905598958</c:v>
                </c:pt>
                <c:pt idx="2" formatCode="General">
                  <c:v>-632.57304636637366</c:v>
                </c:pt>
                <c:pt idx="3">
                  <c:v>30.909846305847168</c:v>
                </c:pt>
                <c:pt idx="4" formatCode="General">
                  <c:v>401.358891805013</c:v>
                </c:pt>
                <c:pt idx="5">
                  <c:v>376.14645004272461</c:v>
                </c:pt>
                <c:pt idx="6" formatCode="General">
                  <c:v>211.56163756052652</c:v>
                </c:pt>
                <c:pt idx="7">
                  <c:v>8.1825389862060547</c:v>
                </c:pt>
                <c:pt idx="8" formatCode="General">
                  <c:v>-82.1913464864095</c:v>
                </c:pt>
                <c:pt idx="9">
                  <c:v>-38.450647989908852</c:v>
                </c:pt>
                <c:pt idx="10" formatCode="General">
                  <c:v>2.8812154134114585</c:v>
                </c:pt>
                <c:pt idx="11">
                  <c:v>1006.7416585286459</c:v>
                </c:pt>
                <c:pt idx="12" formatCode="General">
                  <c:v>2351.9042154947915</c:v>
                </c:pt>
                <c:pt idx="13">
                  <c:v>5707.6162109375</c:v>
                </c:pt>
                <c:pt idx="14" formatCode="General">
                  <c:v>12038.536783854166</c:v>
                </c:pt>
                <c:pt idx="15">
                  <c:v>22116.980143229168</c:v>
                </c:pt>
                <c:pt idx="16" formatCode="General">
                  <c:v>36460.224609375</c:v>
                </c:pt>
                <c:pt idx="17">
                  <c:v>54306.7421875</c:v>
                </c:pt>
                <c:pt idx="18" formatCode="General">
                  <c:v>75499.524739583328</c:v>
                </c:pt>
                <c:pt idx="19">
                  <c:v>98884.088541666672</c:v>
                </c:pt>
                <c:pt idx="20" formatCode="General">
                  <c:v>123015.9609375</c:v>
                </c:pt>
                <c:pt idx="21">
                  <c:v>146578.56510416666</c:v>
                </c:pt>
                <c:pt idx="22" formatCode="General">
                  <c:v>169582.72916666666</c:v>
                </c:pt>
                <c:pt idx="23">
                  <c:v>191892.47395833334</c:v>
                </c:pt>
                <c:pt idx="24" formatCode="General">
                  <c:v>213454.671875</c:v>
                </c:pt>
                <c:pt idx="25">
                  <c:v>233430.80208333334</c:v>
                </c:pt>
                <c:pt idx="26" formatCode="General">
                  <c:v>252248.47916666666</c:v>
                </c:pt>
                <c:pt idx="27">
                  <c:v>269990.30208333331</c:v>
                </c:pt>
                <c:pt idx="28" formatCode="General">
                  <c:v>286128.59375</c:v>
                </c:pt>
                <c:pt idx="29">
                  <c:v>301396.47916666669</c:v>
                </c:pt>
                <c:pt idx="30" formatCode="General">
                  <c:v>315097.10416666669</c:v>
                </c:pt>
                <c:pt idx="31">
                  <c:v>327730.38541666669</c:v>
                </c:pt>
                <c:pt idx="32" formatCode="General">
                  <c:v>339381.66666666669</c:v>
                </c:pt>
                <c:pt idx="33">
                  <c:v>350193.44791666669</c:v>
                </c:pt>
                <c:pt idx="34" formatCode="General">
                  <c:v>358816.84375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99-4428-AB65-77CE270A62E1}"/>
            </c:ext>
          </c:extLst>
        </c:ser>
        <c:ser>
          <c:idx val="4"/>
          <c:order val="4"/>
          <c:tx>
            <c:strRef>
              <c:f>sample4!$Z$1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sample4!$U$2:$U$36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sample4!$Z$2:$Z$36</c:f>
              <c:numCache>
                <c:formatCode>#,##0.000</c:formatCode>
                <c:ptCount val="35"/>
                <c:pt idx="0">
                  <c:v>-19.227956136067707</c:v>
                </c:pt>
                <c:pt idx="1">
                  <c:v>1313.9754231770833</c:v>
                </c:pt>
                <c:pt idx="2">
                  <c:v>225.3691488901774</c:v>
                </c:pt>
                <c:pt idx="3">
                  <c:v>641.3900248209635</c:v>
                </c:pt>
                <c:pt idx="4">
                  <c:v>33.950644175211586</c:v>
                </c:pt>
                <c:pt idx="5">
                  <c:v>211.00638834635416</c:v>
                </c:pt>
                <c:pt idx="6">
                  <c:v>-164.98869323730469</c:v>
                </c:pt>
                <c:pt idx="7">
                  <c:v>192.81547800699869</c:v>
                </c:pt>
                <c:pt idx="8">
                  <c:v>87.93133544921875</c:v>
                </c:pt>
                <c:pt idx="9">
                  <c:v>-261.07465616861981</c:v>
                </c:pt>
                <c:pt idx="10">
                  <c:v>-111.72154744466145</c:v>
                </c:pt>
                <c:pt idx="11">
                  <c:v>-243.28640492757162</c:v>
                </c:pt>
                <c:pt idx="12">
                  <c:v>-186.82233683268228</c:v>
                </c:pt>
                <c:pt idx="13">
                  <c:v>-548.97600301106775</c:v>
                </c:pt>
                <c:pt idx="14">
                  <c:v>66.821650187174484</c:v>
                </c:pt>
                <c:pt idx="15">
                  <c:v>-387.840092976888</c:v>
                </c:pt>
                <c:pt idx="16">
                  <c:v>227.86668650309244</c:v>
                </c:pt>
                <c:pt idx="17">
                  <c:v>-121.39949671427409</c:v>
                </c:pt>
                <c:pt idx="18">
                  <c:v>916.47419865926111</c:v>
                </c:pt>
                <c:pt idx="19">
                  <c:v>-72.328694661458329</c:v>
                </c:pt>
                <c:pt idx="20">
                  <c:v>2031.3786214192708</c:v>
                </c:pt>
                <c:pt idx="21">
                  <c:v>-331.84772237141925</c:v>
                </c:pt>
                <c:pt idx="22">
                  <c:v>5489.43408203125</c:v>
                </c:pt>
                <c:pt idx="23">
                  <c:v>-320.29645792643231</c:v>
                </c:pt>
                <c:pt idx="24">
                  <c:v>16261.7607421875</c:v>
                </c:pt>
                <c:pt idx="25">
                  <c:v>-21.571996291478474</c:v>
                </c:pt>
                <c:pt idx="26">
                  <c:v>48335.3359375</c:v>
                </c:pt>
                <c:pt idx="27">
                  <c:v>124.52745501200359</c:v>
                </c:pt>
                <c:pt idx="28">
                  <c:v>116374.5859375</c:v>
                </c:pt>
                <c:pt idx="29">
                  <c:v>143.414670308431</c:v>
                </c:pt>
                <c:pt idx="30">
                  <c:v>208529.9375</c:v>
                </c:pt>
                <c:pt idx="31">
                  <c:v>363.32402038574219</c:v>
                </c:pt>
                <c:pt idx="32">
                  <c:v>302192.41666666669</c:v>
                </c:pt>
                <c:pt idx="33">
                  <c:v>501.35704739888507</c:v>
                </c:pt>
                <c:pt idx="34">
                  <c:v>381186.875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99-4428-AB65-77CE270A62E1}"/>
            </c:ext>
          </c:extLst>
        </c:ser>
        <c:ser>
          <c:idx val="5"/>
          <c:order val="5"/>
          <c:tx>
            <c:strRef>
              <c:f>sample4!$AA$1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sample4!$U$2:$U$36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sample4!$AA$2:$AA$36</c:f>
              <c:numCache>
                <c:formatCode>#,##0.000</c:formatCode>
                <c:ptCount val="35"/>
                <c:pt idx="0">
                  <c:v>1371.0005696614583</c:v>
                </c:pt>
                <c:pt idx="1">
                  <c:v>1313.9754231770833</c:v>
                </c:pt>
                <c:pt idx="2">
                  <c:v>850.1182963053385</c:v>
                </c:pt>
                <c:pt idx="3">
                  <c:v>641.3900248209635</c:v>
                </c:pt>
                <c:pt idx="4">
                  <c:v>388.93778483072919</c:v>
                </c:pt>
                <c:pt idx="5">
                  <c:v>211.00638834635416</c:v>
                </c:pt>
                <c:pt idx="6">
                  <c:v>247.50208028157553</c:v>
                </c:pt>
                <c:pt idx="7">
                  <c:v>192.81547800699869</c:v>
                </c:pt>
                <c:pt idx="8">
                  <c:v>-53.916697184244789</c:v>
                </c:pt>
                <c:pt idx="9">
                  <c:v>-261.07465616861981</c:v>
                </c:pt>
                <c:pt idx="10">
                  <c:v>-205.66880671183267</c:v>
                </c:pt>
                <c:pt idx="11">
                  <c:v>-243.28640492757162</c:v>
                </c:pt>
                <c:pt idx="12">
                  <c:v>-363.92221577962238</c:v>
                </c:pt>
                <c:pt idx="13">
                  <c:v>-548.97600301106775</c:v>
                </c:pt>
                <c:pt idx="14">
                  <c:v>-597.22380320231116</c:v>
                </c:pt>
                <c:pt idx="15">
                  <c:v>-387.840092976888</c:v>
                </c:pt>
                <c:pt idx="16">
                  <c:v>-277.220708211263</c:v>
                </c:pt>
                <c:pt idx="17">
                  <c:v>-121.39949671427409</c:v>
                </c:pt>
                <c:pt idx="18">
                  <c:v>-41.961102803548179</c:v>
                </c:pt>
                <c:pt idx="19">
                  <c:v>-72.328694661458329</c:v>
                </c:pt>
                <c:pt idx="20">
                  <c:v>-274.05435180664062</c:v>
                </c:pt>
                <c:pt idx="21">
                  <c:v>-331.84772237141925</c:v>
                </c:pt>
                <c:pt idx="22">
                  <c:v>-261.86897150675458</c:v>
                </c:pt>
                <c:pt idx="23">
                  <c:v>-320.29645792643231</c:v>
                </c:pt>
                <c:pt idx="24">
                  <c:v>-249.58070373535156</c:v>
                </c:pt>
                <c:pt idx="25">
                  <c:v>-21.571996291478474</c:v>
                </c:pt>
                <c:pt idx="26">
                  <c:v>85.918482462565109</c:v>
                </c:pt>
                <c:pt idx="27">
                  <c:v>124.52745501200359</c:v>
                </c:pt>
                <c:pt idx="28">
                  <c:v>204.61950174967447</c:v>
                </c:pt>
                <c:pt idx="29">
                  <c:v>143.414670308431</c:v>
                </c:pt>
                <c:pt idx="30">
                  <c:v>80.707232157389328</c:v>
                </c:pt>
                <c:pt idx="31">
                  <c:v>363.32402038574219</c:v>
                </c:pt>
                <c:pt idx="32">
                  <c:v>598.40045166015625</c:v>
                </c:pt>
                <c:pt idx="33">
                  <c:v>501.35704739888507</c:v>
                </c:pt>
                <c:pt idx="34">
                  <c:v>599.02200380961096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99-4428-AB65-77CE270A62E1}"/>
            </c:ext>
          </c:extLst>
        </c:ser>
        <c:ser>
          <c:idx val="6"/>
          <c:order val="6"/>
          <c:tx>
            <c:strRef>
              <c:f>sample4!$AB$1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sample4!$U$2:$U$36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sample4!$AB$2:$AB$36</c:f>
              <c:numCache>
                <c:formatCode>#,##0.000</c:formatCode>
                <c:ptCount val="35"/>
                <c:pt idx="0">
                  <c:v>-171.77809651692709</c:v>
                </c:pt>
                <c:pt idx="1">
                  <c:v>685.4546171824137</c:v>
                </c:pt>
                <c:pt idx="2">
                  <c:v>339.59879048665363</c:v>
                </c:pt>
                <c:pt idx="3">
                  <c:v>396.02940368652344</c:v>
                </c:pt>
                <c:pt idx="4">
                  <c:v>77.376678466796875</c:v>
                </c:pt>
                <c:pt idx="5">
                  <c:v>66.406239827473954</c:v>
                </c:pt>
                <c:pt idx="6">
                  <c:v>-159.69439570109049</c:v>
                </c:pt>
                <c:pt idx="7">
                  <c:v>-136.55025227864584</c:v>
                </c:pt>
                <c:pt idx="8">
                  <c:v>-334.21337890625</c:v>
                </c:pt>
                <c:pt idx="9">
                  <c:v>-556.34527842203772</c:v>
                </c:pt>
                <c:pt idx="10">
                  <c:v>-484.48238372802734</c:v>
                </c:pt>
                <c:pt idx="11">
                  <c:v>-21.754898071289062</c:v>
                </c:pt>
                <c:pt idx="12">
                  <c:v>296.18092346191406</c:v>
                </c:pt>
                <c:pt idx="13">
                  <c:v>72.377156575520829</c:v>
                </c:pt>
                <c:pt idx="14">
                  <c:v>35.880681355794273</c:v>
                </c:pt>
                <c:pt idx="15">
                  <c:v>-79.761617024739579</c:v>
                </c:pt>
                <c:pt idx="16">
                  <c:v>196.7991943359375</c:v>
                </c:pt>
                <c:pt idx="17">
                  <c:v>425.97980753580731</c:v>
                </c:pt>
                <c:pt idx="18">
                  <c:v>868.207265218099</c:v>
                </c:pt>
                <c:pt idx="19">
                  <c:v>1392.299336751302</c:v>
                </c:pt>
                <c:pt idx="20">
                  <c:v>2212.93310546875</c:v>
                </c:pt>
                <c:pt idx="21">
                  <c:v>3104.0721028645835</c:v>
                </c:pt>
                <c:pt idx="22">
                  <c:v>4356.872395833333</c:v>
                </c:pt>
                <c:pt idx="23">
                  <c:v>6612.074055989583</c:v>
                </c:pt>
                <c:pt idx="24">
                  <c:v>10696.202799479166</c:v>
                </c:pt>
                <c:pt idx="25">
                  <c:v>17179.039388020832</c:v>
                </c:pt>
                <c:pt idx="26">
                  <c:v>27459.063802083332</c:v>
                </c:pt>
                <c:pt idx="27">
                  <c:v>42540.75</c:v>
                </c:pt>
                <c:pt idx="28">
                  <c:v>62146.26171875</c:v>
                </c:pt>
                <c:pt idx="29">
                  <c:v>85885.736979166672</c:v>
                </c:pt>
                <c:pt idx="30">
                  <c:v>112037.02083333333</c:v>
                </c:pt>
                <c:pt idx="31">
                  <c:v>139880.64583333334</c:v>
                </c:pt>
                <c:pt idx="32">
                  <c:v>168441.27604166666</c:v>
                </c:pt>
                <c:pt idx="33">
                  <c:v>197197.83854166666</c:v>
                </c:pt>
                <c:pt idx="34">
                  <c:v>220899.84895833334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99-4428-AB65-77CE270A62E1}"/>
            </c:ext>
          </c:extLst>
        </c:ser>
        <c:ser>
          <c:idx val="7"/>
          <c:order val="7"/>
          <c:tx>
            <c:strRef>
              <c:f>sample4!$AC$1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sample4!$U$2:$U$36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sample4!$AC$2:$AC$36</c:f>
              <c:numCache>
                <c:formatCode>#,##0.000</c:formatCode>
                <c:ptCount val="35"/>
                <c:pt idx="0">
                  <c:v>-1464.2689158121746</c:v>
                </c:pt>
                <c:pt idx="1">
                  <c:v>-1050.7547200520833</c:v>
                </c:pt>
                <c:pt idx="2">
                  <c:v>-856.49842834472656</c:v>
                </c:pt>
                <c:pt idx="3">
                  <c:v>-644.53901163736975</c:v>
                </c:pt>
                <c:pt idx="4">
                  <c:v>506.07146199544269</c:v>
                </c:pt>
                <c:pt idx="5">
                  <c:v>465.47362263997394</c:v>
                </c:pt>
                <c:pt idx="6">
                  <c:v>855.05019124348962</c:v>
                </c:pt>
                <c:pt idx="7">
                  <c:v>-300.69345092773438</c:v>
                </c:pt>
                <c:pt idx="8">
                  <c:v>-710.39546712239587</c:v>
                </c:pt>
                <c:pt idx="9">
                  <c:v>-491.60792032877606</c:v>
                </c:pt>
                <c:pt idx="10">
                  <c:v>24.981727600097656</c:v>
                </c:pt>
                <c:pt idx="11">
                  <c:v>253.40471394856772</c:v>
                </c:pt>
                <c:pt idx="12">
                  <c:v>865.33553059895837</c:v>
                </c:pt>
                <c:pt idx="13">
                  <c:v>811.11265563964844</c:v>
                </c:pt>
                <c:pt idx="14">
                  <c:v>545.12155787150061</c:v>
                </c:pt>
                <c:pt idx="15">
                  <c:v>329.80235036214191</c:v>
                </c:pt>
                <c:pt idx="16">
                  <c:v>70.511795043945312</c:v>
                </c:pt>
                <c:pt idx="17">
                  <c:v>-331.80482482910156</c:v>
                </c:pt>
                <c:pt idx="18">
                  <c:v>-232.34535725911459</c:v>
                </c:pt>
                <c:pt idx="19">
                  <c:v>663.26513671875</c:v>
                </c:pt>
                <c:pt idx="20">
                  <c:v>2148.8548583984375</c:v>
                </c:pt>
                <c:pt idx="21">
                  <c:v>5256.4990234375</c:v>
                </c:pt>
                <c:pt idx="22">
                  <c:v>10516.614583333334</c:v>
                </c:pt>
                <c:pt idx="23">
                  <c:v>19652.46484375</c:v>
                </c:pt>
                <c:pt idx="24">
                  <c:v>34215.585286458336</c:v>
                </c:pt>
                <c:pt idx="25">
                  <c:v>53857.178385416664</c:v>
                </c:pt>
                <c:pt idx="26">
                  <c:v>77798.513020833328</c:v>
                </c:pt>
                <c:pt idx="27">
                  <c:v>104978.8984375</c:v>
                </c:pt>
                <c:pt idx="28">
                  <c:v>134513.83072916666</c:v>
                </c:pt>
                <c:pt idx="29">
                  <c:v>165072.20833333334</c:v>
                </c:pt>
                <c:pt idx="30">
                  <c:v>194792.86458333334</c:v>
                </c:pt>
                <c:pt idx="31">
                  <c:v>223036.03645833334</c:v>
                </c:pt>
                <c:pt idx="32">
                  <c:v>249823.50520833334</c:v>
                </c:pt>
                <c:pt idx="33">
                  <c:v>275013.57291666669</c:v>
                </c:pt>
                <c:pt idx="34">
                  <c:v>295501.41666666669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999-4428-AB65-77CE270A6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169536"/>
        <c:axId val="681169952"/>
      </c:scatterChart>
      <c:valAx>
        <c:axId val="68116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81169952"/>
        <c:crosses val="autoZero"/>
        <c:crossBetween val="midCat"/>
      </c:valAx>
      <c:valAx>
        <c:axId val="68116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81169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Porites sample 5 outle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sample5!$V$1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sample5!$U$2:$U$36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sample5!$V$2:$V$36</c:f>
              <c:numCache>
                <c:formatCode>#,##0.000</c:formatCode>
                <c:ptCount val="35"/>
                <c:pt idx="0">
                  <c:v>382.9818115234375</c:v>
                </c:pt>
                <c:pt idx="1">
                  <c:v>872.48291015625</c:v>
                </c:pt>
                <c:pt idx="2">
                  <c:v>455.1805419921875</c:v>
                </c:pt>
                <c:pt idx="3">
                  <c:v>-192.40046262741089</c:v>
                </c:pt>
                <c:pt idx="4">
                  <c:v>-275.81219736735028</c:v>
                </c:pt>
                <c:pt idx="5">
                  <c:v>-290.71870422363281</c:v>
                </c:pt>
                <c:pt idx="6">
                  <c:v>-29.265838623046875</c:v>
                </c:pt>
                <c:pt idx="7">
                  <c:v>248.21176147460938</c:v>
                </c:pt>
                <c:pt idx="8">
                  <c:v>553.99403381347656</c:v>
                </c:pt>
                <c:pt idx="9">
                  <c:v>1279.5302569071453</c:v>
                </c:pt>
                <c:pt idx="10">
                  <c:v>2284.808553059896</c:v>
                </c:pt>
                <c:pt idx="11">
                  <c:v>4081.167765299479</c:v>
                </c:pt>
                <c:pt idx="12">
                  <c:v>6823.058186848958</c:v>
                </c:pt>
                <c:pt idx="13">
                  <c:v>11468.757161458334</c:v>
                </c:pt>
                <c:pt idx="14">
                  <c:v>19531.8935546875</c:v>
                </c:pt>
                <c:pt idx="15">
                  <c:v>34576.126953125</c:v>
                </c:pt>
                <c:pt idx="16">
                  <c:v>60548.727864583336</c:v>
                </c:pt>
                <c:pt idx="17">
                  <c:v>99677.583333333328</c:v>
                </c:pt>
                <c:pt idx="18">
                  <c:v>149103.00520833334</c:v>
                </c:pt>
                <c:pt idx="19">
                  <c:v>203317.703125</c:v>
                </c:pt>
                <c:pt idx="20">
                  <c:v>257850.91145833334</c:v>
                </c:pt>
                <c:pt idx="21">
                  <c:v>310134.16666666669</c:v>
                </c:pt>
                <c:pt idx="22">
                  <c:v>358018.11458333331</c:v>
                </c:pt>
                <c:pt idx="23">
                  <c:v>400559.94791666669</c:v>
                </c:pt>
                <c:pt idx="24">
                  <c:v>438058.05208333331</c:v>
                </c:pt>
                <c:pt idx="25">
                  <c:v>471641.6875</c:v>
                </c:pt>
                <c:pt idx="26">
                  <c:v>500792.98958333331</c:v>
                </c:pt>
                <c:pt idx="27">
                  <c:v>527134.27083333337</c:v>
                </c:pt>
                <c:pt idx="28">
                  <c:v>550396.875</c:v>
                </c:pt>
                <c:pt idx="29">
                  <c:v>571417.69791666663</c:v>
                </c:pt>
                <c:pt idx="30">
                  <c:v>590122.29166666663</c:v>
                </c:pt>
                <c:pt idx="31">
                  <c:v>606911.22916666663</c:v>
                </c:pt>
                <c:pt idx="32">
                  <c:v>621887.375</c:v>
                </c:pt>
                <c:pt idx="33">
                  <c:v>635674.33333333337</c:v>
                </c:pt>
                <c:pt idx="34">
                  <c:v>646088.5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D-4B39-8356-91F07936BEF2}"/>
            </c:ext>
          </c:extLst>
        </c:ser>
        <c:ser>
          <c:idx val="1"/>
          <c:order val="1"/>
          <c:tx>
            <c:strRef>
              <c:f>sample5!$W$1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sample5!$U$2:$U$36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sample5!$W$2:$W$36</c:f>
              <c:numCache>
                <c:formatCode>#,##0.000</c:formatCode>
                <c:ptCount val="35"/>
                <c:pt idx="0">
                  <c:v>-2251.304158528646</c:v>
                </c:pt>
                <c:pt idx="1">
                  <c:v>-1710.83251953125</c:v>
                </c:pt>
                <c:pt idx="2">
                  <c:v>-603.56020100911462</c:v>
                </c:pt>
                <c:pt idx="3">
                  <c:v>-301.58082071940106</c:v>
                </c:pt>
                <c:pt idx="4">
                  <c:v>-0.47513580322265625</c:v>
                </c:pt>
                <c:pt idx="5">
                  <c:v>37.781588236490883</c:v>
                </c:pt>
                <c:pt idx="6">
                  <c:v>184.76357523600259</c:v>
                </c:pt>
                <c:pt idx="7">
                  <c:v>350.28592936197919</c:v>
                </c:pt>
                <c:pt idx="8">
                  <c:v>162.23145294189453</c:v>
                </c:pt>
                <c:pt idx="9">
                  <c:v>158.23166402180991</c:v>
                </c:pt>
                <c:pt idx="10">
                  <c:v>12.765734354654947</c:v>
                </c:pt>
                <c:pt idx="11">
                  <c:v>-103.81738789876302</c:v>
                </c:pt>
                <c:pt idx="12">
                  <c:v>-95.896601359049484</c:v>
                </c:pt>
                <c:pt idx="13">
                  <c:v>278.05023193359375</c:v>
                </c:pt>
                <c:pt idx="14">
                  <c:v>481.36034138997394</c:v>
                </c:pt>
                <c:pt idx="15">
                  <c:v>1173.4438883463542</c:v>
                </c:pt>
                <c:pt idx="16">
                  <c:v>1934.408915201823</c:v>
                </c:pt>
                <c:pt idx="17">
                  <c:v>2620.0015462239585</c:v>
                </c:pt>
                <c:pt idx="18">
                  <c:v>3673.0655110677085</c:v>
                </c:pt>
                <c:pt idx="19">
                  <c:v>4946.6973571777344</c:v>
                </c:pt>
                <c:pt idx="20">
                  <c:v>6488.0792439778643</c:v>
                </c:pt>
                <c:pt idx="21">
                  <c:v>8214.98193359375</c:v>
                </c:pt>
                <c:pt idx="22">
                  <c:v>10198.208174387613</c:v>
                </c:pt>
                <c:pt idx="23">
                  <c:v>12130.336112976074</c:v>
                </c:pt>
                <c:pt idx="24">
                  <c:v>13534.199727376303</c:v>
                </c:pt>
                <c:pt idx="25">
                  <c:v>14967.299021402994</c:v>
                </c:pt>
                <c:pt idx="26">
                  <c:v>16692.786338806152</c:v>
                </c:pt>
                <c:pt idx="27">
                  <c:v>18570.867565155029</c:v>
                </c:pt>
                <c:pt idx="28">
                  <c:v>20467.089090983074</c:v>
                </c:pt>
                <c:pt idx="29">
                  <c:v>22480.666412353516</c:v>
                </c:pt>
                <c:pt idx="30">
                  <c:v>24827.117106119793</c:v>
                </c:pt>
                <c:pt idx="31">
                  <c:v>27204.288177490234</c:v>
                </c:pt>
                <c:pt idx="32">
                  <c:v>29419.211527506512</c:v>
                </c:pt>
                <c:pt idx="33">
                  <c:v>31889.589630126953</c:v>
                </c:pt>
                <c:pt idx="34">
                  <c:v>33955.575480143227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9D-4B39-8356-91F07936BEF2}"/>
            </c:ext>
          </c:extLst>
        </c:ser>
        <c:ser>
          <c:idx val="2"/>
          <c:order val="2"/>
          <c:tx>
            <c:strRef>
              <c:f>sample5!$X$1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sample5!$U$2:$U$36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sample5!$X$2:$X$36</c:f>
              <c:numCache>
                <c:formatCode>#,##0.000</c:formatCode>
                <c:ptCount val="35"/>
                <c:pt idx="0">
                  <c:v>1413.3546040852864</c:v>
                </c:pt>
                <c:pt idx="1">
                  <c:v>-295.28102620442706</c:v>
                </c:pt>
                <c:pt idx="2">
                  <c:v>-39.162251790364586</c:v>
                </c:pt>
                <c:pt idx="3">
                  <c:v>49.553472518920898</c:v>
                </c:pt>
                <c:pt idx="4">
                  <c:v>227.09697469075522</c:v>
                </c:pt>
                <c:pt idx="5">
                  <c:v>62.65361817677816</c:v>
                </c:pt>
                <c:pt idx="6">
                  <c:v>-145.77401161193848</c:v>
                </c:pt>
                <c:pt idx="7">
                  <c:v>585.36316172281897</c:v>
                </c:pt>
                <c:pt idx="8">
                  <c:v>-1173.5199597676594</c:v>
                </c:pt>
                <c:pt idx="9">
                  <c:v>1802.531005859375</c:v>
                </c:pt>
                <c:pt idx="10">
                  <c:v>-2846.0732981363931</c:v>
                </c:pt>
                <c:pt idx="11">
                  <c:v>4913.4333089192705</c:v>
                </c:pt>
                <c:pt idx="12">
                  <c:v>-7691.72021484375</c:v>
                </c:pt>
                <c:pt idx="13">
                  <c:v>11774.038736979166</c:v>
                </c:pt>
                <c:pt idx="14">
                  <c:v>-18936.825520833332</c:v>
                </c:pt>
                <c:pt idx="15">
                  <c:v>30151.22265625</c:v>
                </c:pt>
                <c:pt idx="16">
                  <c:v>-47094.998697916664</c:v>
                </c:pt>
                <c:pt idx="17">
                  <c:v>68795.049479166672</c:v>
                </c:pt>
                <c:pt idx="18">
                  <c:v>-94787.828125</c:v>
                </c:pt>
                <c:pt idx="19">
                  <c:v>123532.06510416667</c:v>
                </c:pt>
                <c:pt idx="20">
                  <c:v>-153418.59635416666</c:v>
                </c:pt>
                <c:pt idx="21">
                  <c:v>183177.15625</c:v>
                </c:pt>
                <c:pt idx="22">
                  <c:v>-211837.21875</c:v>
                </c:pt>
                <c:pt idx="23">
                  <c:v>239571.38020833334</c:v>
                </c:pt>
                <c:pt idx="24">
                  <c:v>-265360.421875</c:v>
                </c:pt>
                <c:pt idx="25">
                  <c:v>289866.88541666669</c:v>
                </c:pt>
                <c:pt idx="26">
                  <c:v>-312940</c:v>
                </c:pt>
                <c:pt idx="27">
                  <c:v>333585.38541666669</c:v>
                </c:pt>
                <c:pt idx="28">
                  <c:v>-352900</c:v>
                </c:pt>
                <c:pt idx="29">
                  <c:v>370607.09375</c:v>
                </c:pt>
                <c:pt idx="30">
                  <c:v>-386937.16666666669</c:v>
                </c:pt>
                <c:pt idx="31">
                  <c:v>402043.09375</c:v>
                </c:pt>
                <c:pt idx="32">
                  <c:v>-416447</c:v>
                </c:pt>
                <c:pt idx="33">
                  <c:v>429554.9375</c:v>
                </c:pt>
                <c:pt idx="34">
                  <c:v>-440265.46875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9D-4B39-8356-91F07936BEF2}"/>
            </c:ext>
          </c:extLst>
        </c:ser>
        <c:ser>
          <c:idx val="3"/>
          <c:order val="3"/>
          <c:tx>
            <c:strRef>
              <c:f>sample5!$Y$1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sample5!$U$2:$U$36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sample5!$Y$2:$Y$36</c:f>
              <c:numCache>
                <c:formatCode>#,##0.000</c:formatCode>
                <c:ptCount val="35"/>
                <c:pt idx="0">
                  <c:v>-2046.6891682942708</c:v>
                </c:pt>
                <c:pt idx="1">
                  <c:v>-1644.9111735026042</c:v>
                </c:pt>
                <c:pt idx="2">
                  <c:v>-604.00303141276038</c:v>
                </c:pt>
                <c:pt idx="3">
                  <c:v>-58.435989379882812</c:v>
                </c:pt>
                <c:pt idx="4">
                  <c:v>323.98651885986328</c:v>
                </c:pt>
                <c:pt idx="5">
                  <c:v>353.57569376627606</c:v>
                </c:pt>
                <c:pt idx="6">
                  <c:v>309.33542887369794</c:v>
                </c:pt>
                <c:pt idx="7">
                  <c:v>155.69022623697916</c:v>
                </c:pt>
                <c:pt idx="8">
                  <c:v>29.239034652709961</c:v>
                </c:pt>
                <c:pt idx="9">
                  <c:v>-233.61190287272134</c:v>
                </c:pt>
                <c:pt idx="10">
                  <c:v>-422.38991292317706</c:v>
                </c:pt>
                <c:pt idx="11">
                  <c:v>-185.21089680989584</c:v>
                </c:pt>
                <c:pt idx="12">
                  <c:v>457.65692043304443</c:v>
                </c:pt>
                <c:pt idx="13">
                  <c:v>2121.8033854166665</c:v>
                </c:pt>
                <c:pt idx="14">
                  <c:v>4483.497965494792</c:v>
                </c:pt>
                <c:pt idx="15">
                  <c:v>9101.3684895833339</c:v>
                </c:pt>
                <c:pt idx="16">
                  <c:v>15582.403971354166</c:v>
                </c:pt>
                <c:pt idx="17">
                  <c:v>24565.692708333332</c:v>
                </c:pt>
                <c:pt idx="18">
                  <c:v>36472.407552083336</c:v>
                </c:pt>
                <c:pt idx="19">
                  <c:v>50123.861979166664</c:v>
                </c:pt>
                <c:pt idx="20">
                  <c:v>65250.549479166664</c:v>
                </c:pt>
                <c:pt idx="21">
                  <c:v>81418.59765625</c:v>
                </c:pt>
                <c:pt idx="22">
                  <c:v>98339.584635416672</c:v>
                </c:pt>
                <c:pt idx="23">
                  <c:v>115423.79427083333</c:v>
                </c:pt>
                <c:pt idx="24">
                  <c:v>132748.921875</c:v>
                </c:pt>
                <c:pt idx="25">
                  <c:v>149389.6796875</c:v>
                </c:pt>
                <c:pt idx="26">
                  <c:v>165810.31770833334</c:v>
                </c:pt>
                <c:pt idx="27">
                  <c:v>181798.39322916666</c:v>
                </c:pt>
                <c:pt idx="28">
                  <c:v>197039.22395833334</c:v>
                </c:pt>
                <c:pt idx="29">
                  <c:v>210951.58854166666</c:v>
                </c:pt>
                <c:pt idx="30">
                  <c:v>223911</c:v>
                </c:pt>
                <c:pt idx="31">
                  <c:v>236843.25520833334</c:v>
                </c:pt>
                <c:pt idx="32">
                  <c:v>249783.10416666666</c:v>
                </c:pt>
                <c:pt idx="33">
                  <c:v>261691.390625</c:v>
                </c:pt>
                <c:pt idx="34">
                  <c:v>271357.703125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9D-4B39-8356-91F07936BEF2}"/>
            </c:ext>
          </c:extLst>
        </c:ser>
        <c:ser>
          <c:idx val="4"/>
          <c:order val="4"/>
          <c:tx>
            <c:strRef>
              <c:f>sample5!$Z$1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sample5!$Z$2:$Z$36</c:f>
              <c:numCache>
                <c:formatCode>#,##0.000</c:formatCode>
                <c:ptCount val="35"/>
                <c:pt idx="0">
                  <c:v>24.897046089172363</c:v>
                </c:pt>
                <c:pt idx="1">
                  <c:v>524.001454671224</c:v>
                </c:pt>
                <c:pt idx="2">
                  <c:v>1005.2048034667969</c:v>
                </c:pt>
                <c:pt idx="3">
                  <c:v>911.92635599772132</c:v>
                </c:pt>
                <c:pt idx="4">
                  <c:v>330.52816772460938</c:v>
                </c:pt>
                <c:pt idx="5">
                  <c:v>-661.62266031901038</c:v>
                </c:pt>
                <c:pt idx="6">
                  <c:v>-1006.749989827474</c:v>
                </c:pt>
                <c:pt idx="7">
                  <c:v>-670.13261413574219</c:v>
                </c:pt>
                <c:pt idx="8">
                  <c:v>-277.42404683430988</c:v>
                </c:pt>
                <c:pt idx="9">
                  <c:v>-337.13734436035156</c:v>
                </c:pt>
                <c:pt idx="10">
                  <c:v>-267.49909273783368</c:v>
                </c:pt>
                <c:pt idx="11">
                  <c:v>-126.89210510253906</c:v>
                </c:pt>
                <c:pt idx="12">
                  <c:v>-185.48822530110678</c:v>
                </c:pt>
                <c:pt idx="13">
                  <c:v>36.009398460388184</c:v>
                </c:pt>
                <c:pt idx="14">
                  <c:v>368.41066487630206</c:v>
                </c:pt>
                <c:pt idx="15">
                  <c:v>451.99422709147137</c:v>
                </c:pt>
                <c:pt idx="16">
                  <c:v>390.79653040568036</c:v>
                </c:pt>
                <c:pt idx="17">
                  <c:v>675.16135660807288</c:v>
                </c:pt>
                <c:pt idx="18">
                  <c:v>1417.8725179036458</c:v>
                </c:pt>
                <c:pt idx="19">
                  <c:v>1851.5993245442708</c:v>
                </c:pt>
                <c:pt idx="20">
                  <c:v>2325.7635904947915</c:v>
                </c:pt>
                <c:pt idx="21">
                  <c:v>3283.7351888020835</c:v>
                </c:pt>
                <c:pt idx="22">
                  <c:v>5009.52197265625</c:v>
                </c:pt>
                <c:pt idx="23">
                  <c:v>7786.16796875</c:v>
                </c:pt>
                <c:pt idx="24">
                  <c:v>13667.582356770834</c:v>
                </c:pt>
                <c:pt idx="25">
                  <c:v>24129.468098958332</c:v>
                </c:pt>
                <c:pt idx="26">
                  <c:v>42972.682291666664</c:v>
                </c:pt>
                <c:pt idx="27">
                  <c:v>74595.927083333328</c:v>
                </c:pt>
                <c:pt idx="28">
                  <c:v>121375.11458333333</c:v>
                </c:pt>
                <c:pt idx="29">
                  <c:v>180123.23958333334</c:v>
                </c:pt>
                <c:pt idx="30">
                  <c:v>244240.734375</c:v>
                </c:pt>
                <c:pt idx="31">
                  <c:v>308919.51041666669</c:v>
                </c:pt>
                <c:pt idx="32">
                  <c:v>369012.8125</c:v>
                </c:pt>
                <c:pt idx="33">
                  <c:v>423107.04166666669</c:v>
                </c:pt>
                <c:pt idx="34">
                  <c:v>464426.59375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9D-4B39-8356-91F07936BEF2}"/>
            </c:ext>
          </c:extLst>
        </c:ser>
        <c:ser>
          <c:idx val="5"/>
          <c:order val="5"/>
          <c:tx>
            <c:strRef>
              <c:f>sample5!$AA$1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sample5!$AA$2:$AA$36</c:f>
              <c:numCache>
                <c:formatCode>#,##0.000</c:formatCode>
                <c:ptCount val="35"/>
                <c:pt idx="0">
                  <c:v>-23.014200846354168</c:v>
                </c:pt>
                <c:pt idx="1">
                  <c:v>31.336140950520832</c:v>
                </c:pt>
                <c:pt idx="2">
                  <c:v>146.50809733072916</c:v>
                </c:pt>
                <c:pt idx="3">
                  <c:v>66.721728006998703</c:v>
                </c:pt>
                <c:pt idx="4">
                  <c:v>56.161911487579346</c:v>
                </c:pt>
                <c:pt idx="5">
                  <c:v>175.58126322428384</c:v>
                </c:pt>
                <c:pt idx="6">
                  <c:v>143.25322977701822</c:v>
                </c:pt>
                <c:pt idx="7">
                  <c:v>38.07232348124186</c:v>
                </c:pt>
                <c:pt idx="8">
                  <c:v>35.990375518798828</c:v>
                </c:pt>
                <c:pt idx="9">
                  <c:v>107.10764058430989</c:v>
                </c:pt>
                <c:pt idx="10">
                  <c:v>151.44497172037759</c:v>
                </c:pt>
                <c:pt idx="11">
                  <c:v>8.2419230143229161</c:v>
                </c:pt>
                <c:pt idx="12">
                  <c:v>-242.66683959960938</c:v>
                </c:pt>
                <c:pt idx="13">
                  <c:v>-338.24488194783527</c:v>
                </c:pt>
                <c:pt idx="14">
                  <c:v>-350.61329015096027</c:v>
                </c:pt>
                <c:pt idx="15">
                  <c:v>-150.56503295898438</c:v>
                </c:pt>
                <c:pt idx="16">
                  <c:v>-148.07145182291666</c:v>
                </c:pt>
                <c:pt idx="17">
                  <c:v>-58.618255615234375</c:v>
                </c:pt>
                <c:pt idx="18">
                  <c:v>128.53809611002603</c:v>
                </c:pt>
                <c:pt idx="19">
                  <c:v>277.09024365742999</c:v>
                </c:pt>
                <c:pt idx="20">
                  <c:v>399.09424845377606</c:v>
                </c:pt>
                <c:pt idx="21">
                  <c:v>667.55007298787439</c:v>
                </c:pt>
                <c:pt idx="22">
                  <c:v>729.00977818171179</c:v>
                </c:pt>
                <c:pt idx="23">
                  <c:v>572.55281130472815</c:v>
                </c:pt>
                <c:pt idx="24">
                  <c:v>862.05161539713538</c:v>
                </c:pt>
                <c:pt idx="25">
                  <c:v>1005.7053680419922</c:v>
                </c:pt>
                <c:pt idx="26">
                  <c:v>932.54523722330725</c:v>
                </c:pt>
                <c:pt idx="27">
                  <c:v>879.27581278483069</c:v>
                </c:pt>
                <c:pt idx="28">
                  <c:v>985.95040257771814</c:v>
                </c:pt>
                <c:pt idx="29">
                  <c:v>1214.4165751139324</c:v>
                </c:pt>
                <c:pt idx="30">
                  <c:v>1224.3294474283855</c:v>
                </c:pt>
                <c:pt idx="31">
                  <c:v>1246.8412628173828</c:v>
                </c:pt>
                <c:pt idx="32">
                  <c:v>1327.7215830485027</c:v>
                </c:pt>
                <c:pt idx="33">
                  <c:v>1441.028902689616</c:v>
                </c:pt>
                <c:pt idx="34">
                  <c:v>1682.3610458374023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9D-4B39-8356-91F07936BEF2}"/>
            </c:ext>
          </c:extLst>
        </c:ser>
        <c:ser>
          <c:idx val="6"/>
          <c:order val="6"/>
          <c:tx>
            <c:strRef>
              <c:f>sample5!$AB$1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sample5!$AB$2:$AB$36</c:f>
              <c:numCache>
                <c:formatCode>#,##0.000</c:formatCode>
                <c:ptCount val="35"/>
                <c:pt idx="0">
                  <c:v>295.91708882649738</c:v>
                </c:pt>
                <c:pt idx="1">
                  <c:v>617.73991902669275</c:v>
                </c:pt>
                <c:pt idx="2">
                  <c:v>163.87521743774414</c:v>
                </c:pt>
                <c:pt idx="3">
                  <c:v>158.47929636637369</c:v>
                </c:pt>
                <c:pt idx="4">
                  <c:v>139.45836893717447</c:v>
                </c:pt>
                <c:pt idx="5">
                  <c:v>-32.19276555379232</c:v>
                </c:pt>
                <c:pt idx="6">
                  <c:v>75.723810831705734</c:v>
                </c:pt>
                <c:pt idx="7">
                  <c:v>245.84349950154623</c:v>
                </c:pt>
                <c:pt idx="8">
                  <c:v>205.48924255371094</c:v>
                </c:pt>
                <c:pt idx="9">
                  <c:v>-148.04730733235678</c:v>
                </c:pt>
                <c:pt idx="10">
                  <c:v>-274.69323984781903</c:v>
                </c:pt>
                <c:pt idx="11">
                  <c:v>-155.32875061035156</c:v>
                </c:pt>
                <c:pt idx="12">
                  <c:v>-107.87572224934895</c:v>
                </c:pt>
                <c:pt idx="13">
                  <c:v>-122.02685546875</c:v>
                </c:pt>
                <c:pt idx="14">
                  <c:v>-324.88631693522137</c:v>
                </c:pt>
                <c:pt idx="15">
                  <c:v>-294.83433691660565</c:v>
                </c:pt>
                <c:pt idx="16">
                  <c:v>-160.82401148478189</c:v>
                </c:pt>
                <c:pt idx="17">
                  <c:v>-231.48035939534506</c:v>
                </c:pt>
                <c:pt idx="18">
                  <c:v>1.1810226440429688</c:v>
                </c:pt>
                <c:pt idx="19">
                  <c:v>151.97259012858072</c:v>
                </c:pt>
                <c:pt idx="20">
                  <c:v>294.42560958862305</c:v>
                </c:pt>
                <c:pt idx="21">
                  <c:v>667.99843343098962</c:v>
                </c:pt>
                <c:pt idx="22">
                  <c:v>831.71710205078125</c:v>
                </c:pt>
                <c:pt idx="23">
                  <c:v>950.86282348632812</c:v>
                </c:pt>
                <c:pt idx="24">
                  <c:v>1735.4981892903645</c:v>
                </c:pt>
                <c:pt idx="25">
                  <c:v>2942.3053385416665</c:v>
                </c:pt>
                <c:pt idx="26">
                  <c:v>4310.169840494792</c:v>
                </c:pt>
                <c:pt idx="27">
                  <c:v>6634.904296875</c:v>
                </c:pt>
                <c:pt idx="28">
                  <c:v>11083.02392578125</c:v>
                </c:pt>
                <c:pt idx="29">
                  <c:v>17877.111979166668</c:v>
                </c:pt>
                <c:pt idx="30">
                  <c:v>28390.831380208332</c:v>
                </c:pt>
                <c:pt idx="31">
                  <c:v>44052.293619791664</c:v>
                </c:pt>
                <c:pt idx="32">
                  <c:v>64482.919270833336</c:v>
                </c:pt>
                <c:pt idx="33">
                  <c:v>88137.513020833328</c:v>
                </c:pt>
                <c:pt idx="34">
                  <c:v>110520.80729166667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49D-4B39-8356-91F07936BEF2}"/>
            </c:ext>
          </c:extLst>
        </c:ser>
        <c:ser>
          <c:idx val="7"/>
          <c:order val="7"/>
          <c:tx>
            <c:strRef>
              <c:f>sample5!$AC$1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sample5!$U$2:$U$36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sample5!$AC$2:$AC$36</c:f>
              <c:numCache>
                <c:formatCode>#,##0.000</c:formatCode>
                <c:ptCount val="35"/>
                <c:pt idx="0">
                  <c:v>74.190923055013016</c:v>
                </c:pt>
                <c:pt idx="1">
                  <c:v>402.81710561116535</c:v>
                </c:pt>
                <c:pt idx="2">
                  <c:v>43.475827534993492</c:v>
                </c:pt>
                <c:pt idx="3">
                  <c:v>-111.60112762451172</c:v>
                </c:pt>
                <c:pt idx="4">
                  <c:v>20.101869265238445</c:v>
                </c:pt>
                <c:pt idx="5">
                  <c:v>319.89079602559406</c:v>
                </c:pt>
                <c:pt idx="6">
                  <c:v>307.6888542175293</c:v>
                </c:pt>
                <c:pt idx="7">
                  <c:v>274.52464421590167</c:v>
                </c:pt>
                <c:pt idx="8">
                  <c:v>166.85655975341797</c:v>
                </c:pt>
                <c:pt idx="9">
                  <c:v>-161.91439565022787</c:v>
                </c:pt>
                <c:pt idx="10">
                  <c:v>-265.70881080627441</c:v>
                </c:pt>
                <c:pt idx="11">
                  <c:v>2.4043426513671875</c:v>
                </c:pt>
                <c:pt idx="12">
                  <c:v>-146.77937253316244</c:v>
                </c:pt>
                <c:pt idx="13">
                  <c:v>-253.73263549804688</c:v>
                </c:pt>
                <c:pt idx="14">
                  <c:v>-387.90464274088544</c:v>
                </c:pt>
                <c:pt idx="15">
                  <c:v>-290.65737406412762</c:v>
                </c:pt>
                <c:pt idx="16">
                  <c:v>-159.68875376383463</c:v>
                </c:pt>
                <c:pt idx="17">
                  <c:v>-175.319091796875</c:v>
                </c:pt>
                <c:pt idx="18">
                  <c:v>-132.31271107991537</c:v>
                </c:pt>
                <c:pt idx="19">
                  <c:v>18.838203589121502</c:v>
                </c:pt>
                <c:pt idx="20">
                  <c:v>168.40838114420572</c:v>
                </c:pt>
                <c:pt idx="21">
                  <c:v>345.37309773763019</c:v>
                </c:pt>
                <c:pt idx="22">
                  <c:v>397.93807983398438</c:v>
                </c:pt>
                <c:pt idx="23">
                  <c:v>539.8702290852865</c:v>
                </c:pt>
                <c:pt idx="24">
                  <c:v>1490.8049926757812</c:v>
                </c:pt>
                <c:pt idx="25">
                  <c:v>2950.0196940104165</c:v>
                </c:pt>
                <c:pt idx="26">
                  <c:v>5235.272298177083</c:v>
                </c:pt>
                <c:pt idx="27">
                  <c:v>9345.59619140625</c:v>
                </c:pt>
                <c:pt idx="28">
                  <c:v>15631.2041015625</c:v>
                </c:pt>
                <c:pt idx="29">
                  <c:v>25084.135091145832</c:v>
                </c:pt>
                <c:pt idx="30">
                  <c:v>37008.177734375</c:v>
                </c:pt>
                <c:pt idx="31">
                  <c:v>52350.379557291664</c:v>
                </c:pt>
                <c:pt idx="32">
                  <c:v>69926.904947916672</c:v>
                </c:pt>
                <c:pt idx="33">
                  <c:v>89672.31640625</c:v>
                </c:pt>
                <c:pt idx="34">
                  <c:v>108139.7734375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49D-4B39-8356-91F07936B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875200"/>
        <c:axId val="693875616"/>
      </c:scatterChart>
      <c:valAx>
        <c:axId val="693875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93875616"/>
        <c:crosses val="autoZero"/>
        <c:crossBetween val="midCat"/>
      </c:valAx>
      <c:valAx>
        <c:axId val="69387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9387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474978127734033"/>
          <c:y val="0.85069335083114606"/>
          <c:w val="0.7249448818897638"/>
          <c:h val="0.149306649168853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Porites sample 6 outle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sample6!$V$1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sample6!$U$2:$U$36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sample6!$V$2:$V$36</c:f>
              <c:numCache>
                <c:formatCode>#,##0.000</c:formatCode>
                <c:ptCount val="35"/>
                <c:pt idx="0">
                  <c:v>-1173.718017578125</c:v>
                </c:pt>
                <c:pt idx="1">
                  <c:v>-779.85882568359375</c:v>
                </c:pt>
                <c:pt idx="2">
                  <c:v>-67.355125427246094</c:v>
                </c:pt>
                <c:pt idx="3">
                  <c:v>141.89858818054199</c:v>
                </c:pt>
                <c:pt idx="4">
                  <c:v>240.900998433431</c:v>
                </c:pt>
                <c:pt idx="5">
                  <c:v>27.366943995157879</c:v>
                </c:pt>
                <c:pt idx="6">
                  <c:v>-363.06684366861981</c:v>
                </c:pt>
                <c:pt idx="7">
                  <c:v>-180.51755777994791</c:v>
                </c:pt>
                <c:pt idx="8">
                  <c:v>-118.6115010579427</c:v>
                </c:pt>
                <c:pt idx="9">
                  <c:v>194.3531405131022</c:v>
                </c:pt>
                <c:pt idx="10">
                  <c:v>125.03133138020833</c:v>
                </c:pt>
                <c:pt idx="11">
                  <c:v>339.26030476888019</c:v>
                </c:pt>
                <c:pt idx="12">
                  <c:v>1857.3122151692708</c:v>
                </c:pt>
                <c:pt idx="13">
                  <c:v>5153.955240885417</c:v>
                </c:pt>
                <c:pt idx="14">
                  <c:v>11332.827473958334</c:v>
                </c:pt>
                <c:pt idx="15">
                  <c:v>23689.54296875</c:v>
                </c:pt>
                <c:pt idx="16">
                  <c:v>44994.536458333336</c:v>
                </c:pt>
                <c:pt idx="17">
                  <c:v>78356.442708333328</c:v>
                </c:pt>
                <c:pt idx="18">
                  <c:v>123999.54427083333</c:v>
                </c:pt>
                <c:pt idx="19">
                  <c:v>177042.48958333334</c:v>
                </c:pt>
                <c:pt idx="20">
                  <c:v>231771.21875</c:v>
                </c:pt>
                <c:pt idx="21">
                  <c:v>284689.04166666669</c:v>
                </c:pt>
                <c:pt idx="22">
                  <c:v>333542.15625</c:v>
                </c:pt>
                <c:pt idx="23">
                  <c:v>376833.27083333331</c:v>
                </c:pt>
                <c:pt idx="24">
                  <c:v>415186.71875</c:v>
                </c:pt>
                <c:pt idx="25">
                  <c:v>448653.57291666669</c:v>
                </c:pt>
                <c:pt idx="26">
                  <c:v>478376.32291666669</c:v>
                </c:pt>
                <c:pt idx="27">
                  <c:v>503921.65625</c:v>
                </c:pt>
                <c:pt idx="28">
                  <c:v>526482.16666666663</c:v>
                </c:pt>
                <c:pt idx="29">
                  <c:v>546812.96875</c:v>
                </c:pt>
                <c:pt idx="30">
                  <c:v>564892.3125</c:v>
                </c:pt>
                <c:pt idx="31">
                  <c:v>580480.66666666663</c:v>
                </c:pt>
                <c:pt idx="32">
                  <c:v>594399.875</c:v>
                </c:pt>
                <c:pt idx="33">
                  <c:v>606909.25</c:v>
                </c:pt>
                <c:pt idx="34">
                  <c:v>616573.20833333337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E9-4B9D-80C9-46C8A9860D30}"/>
            </c:ext>
          </c:extLst>
        </c:ser>
        <c:ser>
          <c:idx val="1"/>
          <c:order val="1"/>
          <c:tx>
            <c:strRef>
              <c:f>sample6!$W$1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sample6!$U$2:$U$36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sample6!$W$2:$W$36</c:f>
              <c:numCache>
                <c:formatCode>#,##0.000</c:formatCode>
                <c:ptCount val="35"/>
                <c:pt idx="0">
                  <c:v>-873.23695882161462</c:v>
                </c:pt>
                <c:pt idx="1">
                  <c:v>-999.26885986328125</c:v>
                </c:pt>
                <c:pt idx="2">
                  <c:v>-691.00917053222656</c:v>
                </c:pt>
                <c:pt idx="3">
                  <c:v>-577.11145242055261</c:v>
                </c:pt>
                <c:pt idx="4">
                  <c:v>502.84615834554035</c:v>
                </c:pt>
                <c:pt idx="5">
                  <c:v>817.51731363932288</c:v>
                </c:pt>
                <c:pt idx="6">
                  <c:v>741.05830033620202</c:v>
                </c:pt>
                <c:pt idx="7">
                  <c:v>432.42736053466797</c:v>
                </c:pt>
                <c:pt idx="8">
                  <c:v>-572.59678649902344</c:v>
                </c:pt>
                <c:pt idx="9">
                  <c:v>-739.44644165039062</c:v>
                </c:pt>
                <c:pt idx="10">
                  <c:v>-1125.7362467447917</c:v>
                </c:pt>
                <c:pt idx="11">
                  <c:v>-110.67703755696614</c:v>
                </c:pt>
                <c:pt idx="12">
                  <c:v>2914.3274739583335</c:v>
                </c:pt>
                <c:pt idx="13">
                  <c:v>9006.2093505859375</c:v>
                </c:pt>
                <c:pt idx="14">
                  <c:v>20885.8203125</c:v>
                </c:pt>
                <c:pt idx="15">
                  <c:v>41790.7373046875</c:v>
                </c:pt>
                <c:pt idx="16">
                  <c:v>75231.141927083328</c:v>
                </c:pt>
                <c:pt idx="17">
                  <c:v>120062.64322916667</c:v>
                </c:pt>
                <c:pt idx="18">
                  <c:v>170304.91927083334</c:v>
                </c:pt>
                <c:pt idx="19">
                  <c:v>218896.41536458334</c:v>
                </c:pt>
                <c:pt idx="20">
                  <c:v>261964.22916666666</c:v>
                </c:pt>
                <c:pt idx="21">
                  <c:v>298927.875</c:v>
                </c:pt>
                <c:pt idx="22">
                  <c:v>330494.4140625</c:v>
                </c:pt>
                <c:pt idx="23">
                  <c:v>356372.30989583331</c:v>
                </c:pt>
                <c:pt idx="24">
                  <c:v>377949.70052083331</c:v>
                </c:pt>
                <c:pt idx="25">
                  <c:v>395678.06770833331</c:v>
                </c:pt>
                <c:pt idx="26">
                  <c:v>410925.875</c:v>
                </c:pt>
                <c:pt idx="27">
                  <c:v>423290.76302083331</c:v>
                </c:pt>
                <c:pt idx="28">
                  <c:v>433736.8046875</c:v>
                </c:pt>
                <c:pt idx="29">
                  <c:v>442246.55989583331</c:v>
                </c:pt>
                <c:pt idx="30">
                  <c:v>448998.17708333331</c:v>
                </c:pt>
                <c:pt idx="31">
                  <c:v>454285.61979166669</c:v>
                </c:pt>
                <c:pt idx="32">
                  <c:v>457989.78125</c:v>
                </c:pt>
                <c:pt idx="33">
                  <c:v>461534.60677083331</c:v>
                </c:pt>
                <c:pt idx="34">
                  <c:v>464076.6796875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E9-4B9D-80C9-46C8A9860D30}"/>
            </c:ext>
          </c:extLst>
        </c:ser>
        <c:ser>
          <c:idx val="2"/>
          <c:order val="2"/>
          <c:tx>
            <c:strRef>
              <c:f>sample6!$X$1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sample6!$U$2:$U$36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sample6!$X$2:$X$36</c:f>
              <c:numCache>
                <c:formatCode>#,##0.000</c:formatCode>
                <c:ptCount val="35"/>
                <c:pt idx="0">
                  <c:v>-1500.6919759114583</c:v>
                </c:pt>
                <c:pt idx="1">
                  <c:v>-567.11381022135413</c:v>
                </c:pt>
                <c:pt idx="2">
                  <c:v>-182.28560384114584</c:v>
                </c:pt>
                <c:pt idx="3">
                  <c:v>-110.26209290822347</c:v>
                </c:pt>
                <c:pt idx="4">
                  <c:v>120.46713638305664</c:v>
                </c:pt>
                <c:pt idx="5">
                  <c:v>-28.540623982747395</c:v>
                </c:pt>
                <c:pt idx="6">
                  <c:v>101.27716573079427</c:v>
                </c:pt>
                <c:pt idx="7">
                  <c:v>264.5272216796875</c:v>
                </c:pt>
                <c:pt idx="8">
                  <c:v>286.88926696777344</c:v>
                </c:pt>
                <c:pt idx="9">
                  <c:v>212.71744410196939</c:v>
                </c:pt>
                <c:pt idx="10">
                  <c:v>556.53781127929688</c:v>
                </c:pt>
                <c:pt idx="11">
                  <c:v>1346.3243815104167</c:v>
                </c:pt>
                <c:pt idx="12">
                  <c:v>2778.855672200521</c:v>
                </c:pt>
                <c:pt idx="13">
                  <c:v>5492.449381510417</c:v>
                </c:pt>
                <c:pt idx="14">
                  <c:v>9755.3922526041661</c:v>
                </c:pt>
                <c:pt idx="15">
                  <c:v>16987.019856770832</c:v>
                </c:pt>
                <c:pt idx="16">
                  <c:v>29242.74609375</c:v>
                </c:pt>
                <c:pt idx="17">
                  <c:v>45430.848958333336</c:v>
                </c:pt>
                <c:pt idx="18">
                  <c:v>65937.66796875</c:v>
                </c:pt>
                <c:pt idx="19">
                  <c:v>89365.28125</c:v>
                </c:pt>
                <c:pt idx="20">
                  <c:v>114994.203125</c:v>
                </c:pt>
                <c:pt idx="21">
                  <c:v>141226.546875</c:v>
                </c:pt>
                <c:pt idx="22">
                  <c:v>167281.8828125</c:v>
                </c:pt>
                <c:pt idx="23">
                  <c:v>193705.85416666666</c:v>
                </c:pt>
                <c:pt idx="24">
                  <c:v>218271.72395833334</c:v>
                </c:pt>
                <c:pt idx="25">
                  <c:v>240649.765625</c:v>
                </c:pt>
                <c:pt idx="26">
                  <c:v>262235.703125</c:v>
                </c:pt>
                <c:pt idx="27">
                  <c:v>282333.83854166669</c:v>
                </c:pt>
                <c:pt idx="28">
                  <c:v>301504.19270833331</c:v>
                </c:pt>
                <c:pt idx="29">
                  <c:v>318683.59375</c:v>
                </c:pt>
                <c:pt idx="30">
                  <c:v>334759.10416666669</c:v>
                </c:pt>
                <c:pt idx="31">
                  <c:v>348798.20833333331</c:v>
                </c:pt>
                <c:pt idx="32">
                  <c:v>363204.80208333331</c:v>
                </c:pt>
                <c:pt idx="33">
                  <c:v>375864.92708333331</c:v>
                </c:pt>
                <c:pt idx="34">
                  <c:v>386329.98958333331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E9-4B9D-80C9-46C8A9860D30}"/>
            </c:ext>
          </c:extLst>
        </c:ser>
        <c:ser>
          <c:idx val="3"/>
          <c:order val="3"/>
          <c:tx>
            <c:strRef>
              <c:f>sample6!$Y$1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sample6!$U$2:$U$36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sample6!$Y$2:$Y$36</c:f>
              <c:numCache>
                <c:formatCode>#,##0.000</c:formatCode>
                <c:ptCount val="35"/>
                <c:pt idx="0">
                  <c:v>-1550.0491536458333</c:v>
                </c:pt>
                <c:pt idx="1">
                  <c:v>-1315.8097127278645</c:v>
                </c:pt>
                <c:pt idx="2">
                  <c:v>-530.79944356282556</c:v>
                </c:pt>
                <c:pt idx="3">
                  <c:v>87.359261830647782</c:v>
                </c:pt>
                <c:pt idx="4">
                  <c:v>348.75496927897137</c:v>
                </c:pt>
                <c:pt idx="5">
                  <c:v>209.76263682047525</c:v>
                </c:pt>
                <c:pt idx="6">
                  <c:v>18.614059448242188</c:v>
                </c:pt>
                <c:pt idx="7">
                  <c:v>50.574854532877602</c:v>
                </c:pt>
                <c:pt idx="8">
                  <c:v>67.368988037109375</c:v>
                </c:pt>
                <c:pt idx="9">
                  <c:v>40.366247812906899</c:v>
                </c:pt>
                <c:pt idx="10">
                  <c:v>-200.88127859433493</c:v>
                </c:pt>
                <c:pt idx="11">
                  <c:v>-336.13922119140625</c:v>
                </c:pt>
                <c:pt idx="12">
                  <c:v>212.38665771484375</c:v>
                </c:pt>
                <c:pt idx="13">
                  <c:v>1050.329216003418</c:v>
                </c:pt>
                <c:pt idx="14">
                  <c:v>2831.172892252604</c:v>
                </c:pt>
                <c:pt idx="15">
                  <c:v>5309.1518961588545</c:v>
                </c:pt>
                <c:pt idx="16">
                  <c:v>8925.5838216145839</c:v>
                </c:pt>
                <c:pt idx="17">
                  <c:v>13343.097005208334</c:v>
                </c:pt>
                <c:pt idx="18">
                  <c:v>19341.388346354168</c:v>
                </c:pt>
                <c:pt idx="19">
                  <c:v>26282.8935546875</c:v>
                </c:pt>
                <c:pt idx="20">
                  <c:v>33600.275390625</c:v>
                </c:pt>
                <c:pt idx="21">
                  <c:v>41206.580729166664</c:v>
                </c:pt>
                <c:pt idx="22">
                  <c:v>49713.314453125</c:v>
                </c:pt>
                <c:pt idx="23">
                  <c:v>58883.423177083336</c:v>
                </c:pt>
                <c:pt idx="24">
                  <c:v>68425.557291666672</c:v>
                </c:pt>
                <c:pt idx="25">
                  <c:v>77390.858723958328</c:v>
                </c:pt>
                <c:pt idx="26">
                  <c:v>86893.022135416672</c:v>
                </c:pt>
                <c:pt idx="27">
                  <c:v>96393.497395833328</c:v>
                </c:pt>
                <c:pt idx="28">
                  <c:v>105331.28645833333</c:v>
                </c:pt>
                <c:pt idx="29">
                  <c:v>113907.03776041667</c:v>
                </c:pt>
                <c:pt idx="30">
                  <c:v>122085.12369791667</c:v>
                </c:pt>
                <c:pt idx="31">
                  <c:v>129917.5546875</c:v>
                </c:pt>
                <c:pt idx="32">
                  <c:v>137752.5234375</c:v>
                </c:pt>
                <c:pt idx="33">
                  <c:v>144945.61328125</c:v>
                </c:pt>
                <c:pt idx="34">
                  <c:v>151526.49479166666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E9-4B9D-80C9-46C8A9860D30}"/>
            </c:ext>
          </c:extLst>
        </c:ser>
        <c:ser>
          <c:idx val="4"/>
          <c:order val="4"/>
          <c:tx>
            <c:strRef>
              <c:f>sample6!$Z$1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sample6!$U$2:$U$36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sample6!$Z$2:$Z$36</c:f>
              <c:numCache>
                <c:formatCode>#,##0.000</c:formatCode>
                <c:ptCount val="35"/>
                <c:pt idx="0">
                  <c:v>-143.20551554361978</c:v>
                </c:pt>
                <c:pt idx="1">
                  <c:v>-27.805884043375652</c:v>
                </c:pt>
                <c:pt idx="2">
                  <c:v>31.596344629923504</c:v>
                </c:pt>
                <c:pt idx="3">
                  <c:v>-42.944138526916504</c:v>
                </c:pt>
                <c:pt idx="4">
                  <c:v>-61.067947387695312</c:v>
                </c:pt>
                <c:pt idx="5">
                  <c:v>-61.905300140380859</c:v>
                </c:pt>
                <c:pt idx="6">
                  <c:v>-327.76609802246094</c:v>
                </c:pt>
                <c:pt idx="7">
                  <c:v>-250.55657958984375</c:v>
                </c:pt>
                <c:pt idx="8">
                  <c:v>166.83783467610678</c:v>
                </c:pt>
                <c:pt idx="9">
                  <c:v>326.06037648518878</c:v>
                </c:pt>
                <c:pt idx="10">
                  <c:v>357.2464599609375</c:v>
                </c:pt>
                <c:pt idx="11">
                  <c:v>341.11483256022137</c:v>
                </c:pt>
                <c:pt idx="12">
                  <c:v>160.94153849283853</c:v>
                </c:pt>
                <c:pt idx="13">
                  <c:v>-125.05987040201823</c:v>
                </c:pt>
                <c:pt idx="14">
                  <c:v>-193.1628557840983</c:v>
                </c:pt>
                <c:pt idx="15">
                  <c:v>-144.21114603678384</c:v>
                </c:pt>
                <c:pt idx="16">
                  <c:v>-218.84015846252441</c:v>
                </c:pt>
                <c:pt idx="17">
                  <c:v>-222.95355892181396</c:v>
                </c:pt>
                <c:pt idx="18">
                  <c:v>-137.78310139973959</c:v>
                </c:pt>
                <c:pt idx="19">
                  <c:v>-70.276710510253906</c:v>
                </c:pt>
                <c:pt idx="20">
                  <c:v>306.92758941650391</c:v>
                </c:pt>
                <c:pt idx="21">
                  <c:v>739.53813680013025</c:v>
                </c:pt>
                <c:pt idx="22">
                  <c:v>1269.601826985677</c:v>
                </c:pt>
                <c:pt idx="23">
                  <c:v>2536.662841796875</c:v>
                </c:pt>
                <c:pt idx="24">
                  <c:v>5205.843668619792</c:v>
                </c:pt>
                <c:pt idx="25">
                  <c:v>10621.631510416666</c:v>
                </c:pt>
                <c:pt idx="26">
                  <c:v>19054.082682291668</c:v>
                </c:pt>
                <c:pt idx="27">
                  <c:v>35100.2734375</c:v>
                </c:pt>
                <c:pt idx="28">
                  <c:v>62244.1328125</c:v>
                </c:pt>
                <c:pt idx="29">
                  <c:v>103706.453125</c:v>
                </c:pt>
                <c:pt idx="30">
                  <c:v>157481.07291666666</c:v>
                </c:pt>
                <c:pt idx="31">
                  <c:v>218156.85416666666</c:v>
                </c:pt>
                <c:pt idx="32">
                  <c:v>280525.84375</c:v>
                </c:pt>
                <c:pt idx="33">
                  <c:v>339729.69791666669</c:v>
                </c:pt>
                <c:pt idx="34">
                  <c:v>386422.32291666669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E9-4B9D-80C9-46C8A9860D30}"/>
            </c:ext>
          </c:extLst>
        </c:ser>
        <c:ser>
          <c:idx val="5"/>
          <c:order val="5"/>
          <c:tx>
            <c:strRef>
              <c:f>sample6!$AA$1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sample6!$U$2:$U$36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sample6!$AA$2:$AA$36</c:f>
              <c:numCache>
                <c:formatCode>General</c:formatCode>
                <c:ptCount val="35"/>
                <c:pt idx="0" formatCode="#,##0.000">
                  <c:v>-962.77560424804688</c:v>
                </c:pt>
                <c:pt idx="1">
                  <c:v>-411.40463256835938</c:v>
                </c:pt>
                <c:pt idx="2" formatCode="#,##0.000">
                  <c:v>-59.101313273111977</c:v>
                </c:pt>
                <c:pt idx="3">
                  <c:v>67.212419191996261</c:v>
                </c:pt>
                <c:pt idx="4" formatCode="#,##0.000">
                  <c:v>84.151148478190109</c:v>
                </c:pt>
                <c:pt idx="5">
                  <c:v>3.5534184773763022</c:v>
                </c:pt>
                <c:pt idx="6" formatCode="#,##0.000">
                  <c:v>-59.112042744954429</c:v>
                </c:pt>
                <c:pt idx="7">
                  <c:v>-154.35040791829428</c:v>
                </c:pt>
                <c:pt idx="8" formatCode="#,##0.000">
                  <c:v>-190.87000020345053</c:v>
                </c:pt>
                <c:pt idx="9">
                  <c:v>-22.56670633951823</c:v>
                </c:pt>
                <c:pt idx="10" formatCode="#,##0.000">
                  <c:v>178.24180714289346</c:v>
                </c:pt>
                <c:pt idx="11">
                  <c:v>245.70657602945963</c:v>
                </c:pt>
                <c:pt idx="12" formatCode="#,##0.000">
                  <c:v>58.082806905110679</c:v>
                </c:pt>
                <c:pt idx="13">
                  <c:v>-51.290977478027344</c:v>
                </c:pt>
                <c:pt idx="14" formatCode="#,##0.000">
                  <c:v>67.80920282999675</c:v>
                </c:pt>
                <c:pt idx="15">
                  <c:v>57.896367390950523</c:v>
                </c:pt>
                <c:pt idx="16" formatCode="#,##0.000">
                  <c:v>-221.52948443094888</c:v>
                </c:pt>
                <c:pt idx="17">
                  <c:v>31.867574055989582</c:v>
                </c:pt>
                <c:pt idx="18" formatCode="#,##0.000">
                  <c:v>406.78284947077435</c:v>
                </c:pt>
                <c:pt idx="19">
                  <c:v>1091.390848795573</c:v>
                </c:pt>
                <c:pt idx="20" formatCode="#,##0.000">
                  <c:v>1806.7539876302083</c:v>
                </c:pt>
                <c:pt idx="21">
                  <c:v>2520.776123046875</c:v>
                </c:pt>
                <c:pt idx="22" formatCode="#,##0.000">
                  <c:v>3692.66796875</c:v>
                </c:pt>
                <c:pt idx="23">
                  <c:v>6000.7578125</c:v>
                </c:pt>
                <c:pt idx="24" formatCode="#,##0.000">
                  <c:v>10539.284830729166</c:v>
                </c:pt>
                <c:pt idx="25">
                  <c:v>19778.260416666668</c:v>
                </c:pt>
                <c:pt idx="26" formatCode="#,##0.000">
                  <c:v>35729.365885416664</c:v>
                </c:pt>
                <c:pt idx="27">
                  <c:v>63493.690104166664</c:v>
                </c:pt>
                <c:pt idx="28" formatCode="#,##0.000">
                  <c:v>107245.93489583333</c:v>
                </c:pt>
                <c:pt idx="29">
                  <c:v>165887.578125</c:v>
                </c:pt>
                <c:pt idx="30" formatCode="#,##0.000">
                  <c:v>231558.47395833334</c:v>
                </c:pt>
                <c:pt idx="31">
                  <c:v>296652.10416666669</c:v>
                </c:pt>
                <c:pt idx="32" formatCode="#,##0.000">
                  <c:v>354829.40625</c:v>
                </c:pt>
                <c:pt idx="33">
                  <c:v>404856.69791666669</c:v>
                </c:pt>
                <c:pt idx="34" formatCode="#,##0.000">
                  <c:v>441443.83333333331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E9-4B9D-80C9-46C8A9860D30}"/>
            </c:ext>
          </c:extLst>
        </c:ser>
        <c:ser>
          <c:idx val="6"/>
          <c:order val="6"/>
          <c:tx>
            <c:strRef>
              <c:f>sample6!$AB$1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sample6!$U$2:$U$36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sample6!$AB$2:$AB$36</c:f>
              <c:numCache>
                <c:formatCode>#,##0.000</c:formatCode>
                <c:ptCount val="35"/>
                <c:pt idx="0">
                  <c:v>-32.469807942708336</c:v>
                </c:pt>
                <c:pt idx="1">
                  <c:v>319.70689392089844</c:v>
                </c:pt>
                <c:pt idx="2">
                  <c:v>303.4512990315755</c:v>
                </c:pt>
                <c:pt idx="3">
                  <c:v>232.88839721679688</c:v>
                </c:pt>
                <c:pt idx="4">
                  <c:v>172.75258382161459</c:v>
                </c:pt>
                <c:pt idx="5">
                  <c:v>18.918851216634113</c:v>
                </c:pt>
                <c:pt idx="6">
                  <c:v>-63.998212178548179</c:v>
                </c:pt>
                <c:pt idx="7">
                  <c:v>53.470143795013428</c:v>
                </c:pt>
                <c:pt idx="8">
                  <c:v>-40.097981770833336</c:v>
                </c:pt>
                <c:pt idx="9">
                  <c:v>-116.10357920328777</c:v>
                </c:pt>
                <c:pt idx="10">
                  <c:v>-196.28626759847006</c:v>
                </c:pt>
                <c:pt idx="11">
                  <c:v>-183.666872660319</c:v>
                </c:pt>
                <c:pt idx="12">
                  <c:v>-16.255813598632812</c:v>
                </c:pt>
                <c:pt idx="13">
                  <c:v>-104.83433278401692</c:v>
                </c:pt>
                <c:pt idx="14">
                  <c:v>-167.57952117919922</c:v>
                </c:pt>
                <c:pt idx="15">
                  <c:v>-197.08513387044272</c:v>
                </c:pt>
                <c:pt idx="16">
                  <c:v>-335.95533005396527</c:v>
                </c:pt>
                <c:pt idx="17">
                  <c:v>-524.0234375</c:v>
                </c:pt>
                <c:pt idx="18">
                  <c:v>-185.87279256184897</c:v>
                </c:pt>
                <c:pt idx="19">
                  <c:v>208.80389658610025</c:v>
                </c:pt>
                <c:pt idx="20">
                  <c:v>527.58475748697913</c:v>
                </c:pt>
                <c:pt idx="21">
                  <c:v>651.85518900553382</c:v>
                </c:pt>
                <c:pt idx="22">
                  <c:v>897.91204833984375</c:v>
                </c:pt>
                <c:pt idx="23">
                  <c:v>1197.9116821289062</c:v>
                </c:pt>
                <c:pt idx="24">
                  <c:v>1872.5414632161458</c:v>
                </c:pt>
                <c:pt idx="25">
                  <c:v>3292.348388671875</c:v>
                </c:pt>
                <c:pt idx="26">
                  <c:v>5873.712565104167</c:v>
                </c:pt>
                <c:pt idx="27">
                  <c:v>10146.525065104166</c:v>
                </c:pt>
                <c:pt idx="28">
                  <c:v>16853.128255208332</c:v>
                </c:pt>
                <c:pt idx="29">
                  <c:v>28491.8046875</c:v>
                </c:pt>
                <c:pt idx="30">
                  <c:v>45086.924479166664</c:v>
                </c:pt>
                <c:pt idx="31">
                  <c:v>67986.3671875</c:v>
                </c:pt>
                <c:pt idx="32">
                  <c:v>95526.044270833328</c:v>
                </c:pt>
                <c:pt idx="33">
                  <c:v>126105.0390625</c:v>
                </c:pt>
                <c:pt idx="34">
                  <c:v>153827.73958333334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CE9-4B9D-80C9-46C8A9860D30}"/>
            </c:ext>
          </c:extLst>
        </c:ser>
        <c:ser>
          <c:idx val="7"/>
          <c:order val="7"/>
          <c:tx>
            <c:strRef>
              <c:f>sample6!$AC$1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sample6!$U$2:$U$36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sample6!$AC$2:$AC$36</c:f>
              <c:numCache>
                <c:formatCode>#,##0.000</c:formatCode>
                <c:ptCount val="35"/>
                <c:pt idx="0">
                  <c:v>27.621561686197918</c:v>
                </c:pt>
                <c:pt idx="1">
                  <c:v>311.44261678059894</c:v>
                </c:pt>
                <c:pt idx="2">
                  <c:v>229.91477966308594</c:v>
                </c:pt>
                <c:pt idx="3">
                  <c:v>279.29060872395831</c:v>
                </c:pt>
                <c:pt idx="4">
                  <c:v>316.02840169270831</c:v>
                </c:pt>
                <c:pt idx="5">
                  <c:v>443.41721598307294</c:v>
                </c:pt>
                <c:pt idx="6">
                  <c:v>374.75398635864258</c:v>
                </c:pt>
                <c:pt idx="7">
                  <c:v>489.42664591471356</c:v>
                </c:pt>
                <c:pt idx="8">
                  <c:v>484.36496988932294</c:v>
                </c:pt>
                <c:pt idx="9">
                  <c:v>230.94389851888022</c:v>
                </c:pt>
                <c:pt idx="10">
                  <c:v>-51.123003482818604</c:v>
                </c:pt>
                <c:pt idx="11">
                  <c:v>-178.11959966023764</c:v>
                </c:pt>
                <c:pt idx="12">
                  <c:v>35.878611246744789</c:v>
                </c:pt>
                <c:pt idx="13">
                  <c:v>65.87161000569661</c:v>
                </c:pt>
                <c:pt idx="14">
                  <c:v>-294.34372965494794</c:v>
                </c:pt>
                <c:pt idx="15">
                  <c:v>-432.80125935872394</c:v>
                </c:pt>
                <c:pt idx="16">
                  <c:v>-652.27960205078125</c:v>
                </c:pt>
                <c:pt idx="17">
                  <c:v>-788.00795491536462</c:v>
                </c:pt>
                <c:pt idx="18">
                  <c:v>-669.09051513671875</c:v>
                </c:pt>
                <c:pt idx="19">
                  <c:v>-499.97772216796875</c:v>
                </c:pt>
                <c:pt idx="20">
                  <c:v>-425.54201253255206</c:v>
                </c:pt>
                <c:pt idx="21">
                  <c:v>-190.14535776774088</c:v>
                </c:pt>
                <c:pt idx="22">
                  <c:v>-388.29038492838544</c:v>
                </c:pt>
                <c:pt idx="23">
                  <c:v>-420.99271138509113</c:v>
                </c:pt>
                <c:pt idx="24">
                  <c:v>-357.54137166341144</c:v>
                </c:pt>
                <c:pt idx="25">
                  <c:v>-419.43380737304688</c:v>
                </c:pt>
                <c:pt idx="26">
                  <c:v>-228.27413431803384</c:v>
                </c:pt>
                <c:pt idx="27">
                  <c:v>38.106880187988281</c:v>
                </c:pt>
                <c:pt idx="28">
                  <c:v>73.021748860677079</c:v>
                </c:pt>
                <c:pt idx="29">
                  <c:v>183.93140411376953</c:v>
                </c:pt>
                <c:pt idx="30">
                  <c:v>489.38534037272137</c:v>
                </c:pt>
                <c:pt idx="31">
                  <c:v>313.321044921875</c:v>
                </c:pt>
                <c:pt idx="32">
                  <c:v>599.54579544067383</c:v>
                </c:pt>
                <c:pt idx="33">
                  <c:v>1348.7601725260417</c:v>
                </c:pt>
                <c:pt idx="34">
                  <c:v>1792.6307779947917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CE9-4B9D-80C9-46C8A9860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873952"/>
        <c:axId val="693877696"/>
      </c:scatterChart>
      <c:valAx>
        <c:axId val="693873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93877696"/>
        <c:crosses val="autoZero"/>
        <c:crossBetween val="midCat"/>
      </c:valAx>
      <c:valAx>
        <c:axId val="69387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93873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Porites sample 8 outle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sample8!$U$1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sample8!$T$2:$T$36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sample8!$U$2:$U$36</c:f>
              <c:numCache>
                <c:formatCode>#,##0.000</c:formatCode>
                <c:ptCount val="35"/>
                <c:pt idx="0">
                  <c:v>-1266.847412109375</c:v>
                </c:pt>
                <c:pt idx="1">
                  <c:v>-1201.6980082194011</c:v>
                </c:pt>
                <c:pt idx="2">
                  <c:v>-466.22563425699872</c:v>
                </c:pt>
                <c:pt idx="3">
                  <c:v>-17.416033426920574</c:v>
                </c:pt>
                <c:pt idx="4">
                  <c:v>192.15657424926758</c:v>
                </c:pt>
                <c:pt idx="5">
                  <c:v>442.46225992838544</c:v>
                </c:pt>
                <c:pt idx="6">
                  <c:v>224.33695872624716</c:v>
                </c:pt>
                <c:pt idx="7">
                  <c:v>18.274149576822918</c:v>
                </c:pt>
                <c:pt idx="8">
                  <c:v>-207.35246276855469</c:v>
                </c:pt>
                <c:pt idx="9">
                  <c:v>-23.510317484537762</c:v>
                </c:pt>
                <c:pt idx="10">
                  <c:v>157.52713012695312</c:v>
                </c:pt>
                <c:pt idx="11">
                  <c:v>123.90184084574382</c:v>
                </c:pt>
                <c:pt idx="12">
                  <c:v>758.3389994303385</c:v>
                </c:pt>
                <c:pt idx="13">
                  <c:v>2151.48583984375</c:v>
                </c:pt>
                <c:pt idx="14">
                  <c:v>4750.548014322917</c:v>
                </c:pt>
                <c:pt idx="15">
                  <c:v>9970.5348307291661</c:v>
                </c:pt>
                <c:pt idx="16">
                  <c:v>19067.619140625</c:v>
                </c:pt>
                <c:pt idx="17">
                  <c:v>36905.305989583336</c:v>
                </c:pt>
                <c:pt idx="18">
                  <c:v>68323.1171875</c:v>
                </c:pt>
                <c:pt idx="19">
                  <c:v>118811.84635416667</c:v>
                </c:pt>
                <c:pt idx="20">
                  <c:v>184723.61458333334</c:v>
                </c:pt>
                <c:pt idx="21">
                  <c:v>255312.82291666666</c:v>
                </c:pt>
                <c:pt idx="22">
                  <c:v>321949.47916666669</c:v>
                </c:pt>
                <c:pt idx="23">
                  <c:v>380994.96875</c:v>
                </c:pt>
                <c:pt idx="24">
                  <c:v>432758.53125</c:v>
                </c:pt>
                <c:pt idx="25">
                  <c:v>476146.30208333331</c:v>
                </c:pt>
                <c:pt idx="26">
                  <c:v>512917.54166666669</c:v>
                </c:pt>
                <c:pt idx="27">
                  <c:v>543872.95833333337</c:v>
                </c:pt>
                <c:pt idx="28">
                  <c:v>570226.20833333337</c:v>
                </c:pt>
                <c:pt idx="29">
                  <c:v>592967.08333333337</c:v>
                </c:pt>
                <c:pt idx="30">
                  <c:v>611916.125</c:v>
                </c:pt>
                <c:pt idx="31">
                  <c:v>628591.29166666663</c:v>
                </c:pt>
                <c:pt idx="32">
                  <c:v>643129.77083333337</c:v>
                </c:pt>
                <c:pt idx="33">
                  <c:v>655681.89583333337</c:v>
                </c:pt>
                <c:pt idx="34">
                  <c:v>664767.66666666663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91-4C6C-8896-59D87E3C62A8}"/>
            </c:ext>
          </c:extLst>
        </c:ser>
        <c:ser>
          <c:idx val="1"/>
          <c:order val="1"/>
          <c:tx>
            <c:strRef>
              <c:f>sample8!$V$1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sample8!$T$2:$T$36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sample8!$V$2:$V$36</c:f>
              <c:numCache>
                <c:formatCode>#,##0.000</c:formatCode>
                <c:ptCount val="35"/>
                <c:pt idx="0">
                  <c:v>-2027.8034261067708</c:v>
                </c:pt>
                <c:pt idx="1">
                  <c:v>-1047.8841654459636</c:v>
                </c:pt>
                <c:pt idx="2">
                  <c:v>-116.76175991694133</c:v>
                </c:pt>
                <c:pt idx="3">
                  <c:v>118.28771940867107</c:v>
                </c:pt>
                <c:pt idx="4">
                  <c:v>129.77990913391113</c:v>
                </c:pt>
                <c:pt idx="5">
                  <c:v>-52.977903366088867</c:v>
                </c:pt>
                <c:pt idx="6">
                  <c:v>-114.26697095235188</c:v>
                </c:pt>
                <c:pt idx="7">
                  <c:v>86.0220947265625</c:v>
                </c:pt>
                <c:pt idx="8">
                  <c:v>290.97522989908856</c:v>
                </c:pt>
                <c:pt idx="9">
                  <c:v>535.54294268290198</c:v>
                </c:pt>
                <c:pt idx="10">
                  <c:v>1332.3710301717122</c:v>
                </c:pt>
                <c:pt idx="11">
                  <c:v>2883.1809895833335</c:v>
                </c:pt>
                <c:pt idx="12">
                  <c:v>5872.342447916667</c:v>
                </c:pt>
                <c:pt idx="13">
                  <c:v>9855.5796712239589</c:v>
                </c:pt>
                <c:pt idx="14">
                  <c:v>16070.941243489584</c:v>
                </c:pt>
                <c:pt idx="15">
                  <c:v>25090.183756510418</c:v>
                </c:pt>
                <c:pt idx="16">
                  <c:v>36006.778971354164</c:v>
                </c:pt>
                <c:pt idx="17">
                  <c:v>47908.6552734375</c:v>
                </c:pt>
                <c:pt idx="18">
                  <c:v>60935.338541666664</c:v>
                </c:pt>
                <c:pt idx="19">
                  <c:v>75638.209635416672</c:v>
                </c:pt>
                <c:pt idx="20">
                  <c:v>90358.000651041672</c:v>
                </c:pt>
                <c:pt idx="21">
                  <c:v>105291.88411458333</c:v>
                </c:pt>
                <c:pt idx="22">
                  <c:v>120650.83984375</c:v>
                </c:pt>
                <c:pt idx="23">
                  <c:v>135469.08072916666</c:v>
                </c:pt>
                <c:pt idx="24">
                  <c:v>149422.93619791666</c:v>
                </c:pt>
                <c:pt idx="25">
                  <c:v>163380.73177083334</c:v>
                </c:pt>
                <c:pt idx="26">
                  <c:v>176988.28515625</c:v>
                </c:pt>
                <c:pt idx="27">
                  <c:v>189498.25</c:v>
                </c:pt>
                <c:pt idx="28">
                  <c:v>201501.04427083334</c:v>
                </c:pt>
                <c:pt idx="29">
                  <c:v>212700.3828125</c:v>
                </c:pt>
                <c:pt idx="30">
                  <c:v>223482.17708333334</c:v>
                </c:pt>
                <c:pt idx="31">
                  <c:v>233655.17708333334</c:v>
                </c:pt>
                <c:pt idx="32">
                  <c:v>243361.45052083334</c:v>
                </c:pt>
                <c:pt idx="33">
                  <c:v>253008.58333333334</c:v>
                </c:pt>
                <c:pt idx="34">
                  <c:v>260407.16145833334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91-4C6C-8896-59D87E3C62A8}"/>
            </c:ext>
          </c:extLst>
        </c:ser>
        <c:ser>
          <c:idx val="2"/>
          <c:order val="2"/>
          <c:tx>
            <c:strRef>
              <c:f>sample8!$W$1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sample8!$T$2:$T$36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sample8!$W$2:$W$36</c:f>
              <c:numCache>
                <c:formatCode>#,##0.000</c:formatCode>
                <c:ptCount val="35"/>
                <c:pt idx="0">
                  <c:v>-1369.5303141276042</c:v>
                </c:pt>
                <c:pt idx="1">
                  <c:v>-754.438232421875</c:v>
                </c:pt>
                <c:pt idx="2">
                  <c:v>-255.52576382954916</c:v>
                </c:pt>
                <c:pt idx="3">
                  <c:v>88.165307998657227</c:v>
                </c:pt>
                <c:pt idx="4">
                  <c:v>240.67407735188803</c:v>
                </c:pt>
                <c:pt idx="5">
                  <c:v>107.0214106241862</c:v>
                </c:pt>
                <c:pt idx="6">
                  <c:v>283.77497482299805</c:v>
                </c:pt>
                <c:pt idx="7">
                  <c:v>808.29157511393225</c:v>
                </c:pt>
                <c:pt idx="8">
                  <c:v>1802.834208170573</c:v>
                </c:pt>
                <c:pt idx="9">
                  <c:v>2493.0721232096353</c:v>
                </c:pt>
                <c:pt idx="10">
                  <c:v>4525.338785807292</c:v>
                </c:pt>
                <c:pt idx="11">
                  <c:v>8666.2589518229161</c:v>
                </c:pt>
                <c:pt idx="12">
                  <c:v>16171.171549479166</c:v>
                </c:pt>
                <c:pt idx="13">
                  <c:v>29707.184895833332</c:v>
                </c:pt>
                <c:pt idx="14">
                  <c:v>49955.49609375</c:v>
                </c:pt>
                <c:pt idx="15">
                  <c:v>76336.234375</c:v>
                </c:pt>
                <c:pt idx="16">
                  <c:v>107086.1640625</c:v>
                </c:pt>
                <c:pt idx="17">
                  <c:v>139981.0859375</c:v>
                </c:pt>
                <c:pt idx="18">
                  <c:v>173163.08333333334</c:v>
                </c:pt>
                <c:pt idx="19">
                  <c:v>205734.81770833334</c:v>
                </c:pt>
                <c:pt idx="20">
                  <c:v>236346.953125</c:v>
                </c:pt>
                <c:pt idx="21">
                  <c:v>264277.66666666669</c:v>
                </c:pt>
                <c:pt idx="22">
                  <c:v>290304.36458333331</c:v>
                </c:pt>
                <c:pt idx="23">
                  <c:v>314198.36458333331</c:v>
                </c:pt>
                <c:pt idx="24">
                  <c:v>335661.90625</c:v>
                </c:pt>
                <c:pt idx="25">
                  <c:v>355421.42708333331</c:v>
                </c:pt>
                <c:pt idx="26">
                  <c:v>373379.30208333331</c:v>
                </c:pt>
                <c:pt idx="27">
                  <c:v>389689.88541666669</c:v>
                </c:pt>
                <c:pt idx="28">
                  <c:v>404828.09375</c:v>
                </c:pt>
                <c:pt idx="29">
                  <c:v>418416.28125</c:v>
                </c:pt>
                <c:pt idx="30">
                  <c:v>430412.61458333331</c:v>
                </c:pt>
                <c:pt idx="31">
                  <c:v>441062.33333333331</c:v>
                </c:pt>
                <c:pt idx="32">
                  <c:v>451950.14583333331</c:v>
                </c:pt>
                <c:pt idx="33">
                  <c:v>461920.6875</c:v>
                </c:pt>
                <c:pt idx="34">
                  <c:v>469183.66666666669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91-4C6C-8896-59D87E3C62A8}"/>
            </c:ext>
          </c:extLst>
        </c:ser>
        <c:ser>
          <c:idx val="3"/>
          <c:order val="3"/>
          <c:tx>
            <c:strRef>
              <c:f>sample8!$X$1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sample8!$T$2:$T$36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sample8!$X$2:$X$36</c:f>
              <c:numCache>
                <c:formatCode>#,##0.000</c:formatCode>
                <c:ptCount val="35"/>
                <c:pt idx="0">
                  <c:v>-2334.745564778646</c:v>
                </c:pt>
                <c:pt idx="1">
                  <c:v>-1292.3081868489583</c:v>
                </c:pt>
                <c:pt idx="2">
                  <c:v>-92.675526936848954</c:v>
                </c:pt>
                <c:pt idx="3">
                  <c:v>-20.214723587036133</c:v>
                </c:pt>
                <c:pt idx="4">
                  <c:v>288.54036712646484</c:v>
                </c:pt>
                <c:pt idx="5">
                  <c:v>330.12357457478839</c:v>
                </c:pt>
                <c:pt idx="6">
                  <c:v>-340.21770477294922</c:v>
                </c:pt>
                <c:pt idx="7">
                  <c:v>-523.80113220214844</c:v>
                </c:pt>
                <c:pt idx="8">
                  <c:v>75.076330184936523</c:v>
                </c:pt>
                <c:pt idx="9">
                  <c:v>318.68296051025391</c:v>
                </c:pt>
                <c:pt idx="10">
                  <c:v>1167.581278483073</c:v>
                </c:pt>
                <c:pt idx="11">
                  <c:v>3839.266153971354</c:v>
                </c:pt>
                <c:pt idx="12">
                  <c:v>9461.05224609375</c:v>
                </c:pt>
                <c:pt idx="13">
                  <c:v>19991.422200520832</c:v>
                </c:pt>
                <c:pt idx="14">
                  <c:v>38634.567057291664</c:v>
                </c:pt>
                <c:pt idx="15">
                  <c:v>65476.311197916664</c:v>
                </c:pt>
                <c:pt idx="16">
                  <c:v>97406.197916666672</c:v>
                </c:pt>
                <c:pt idx="17">
                  <c:v>130383.48046875</c:v>
                </c:pt>
                <c:pt idx="18">
                  <c:v>163988.3046875</c:v>
                </c:pt>
                <c:pt idx="19">
                  <c:v>195281.96875</c:v>
                </c:pt>
                <c:pt idx="20">
                  <c:v>222859.59635416666</c:v>
                </c:pt>
                <c:pt idx="21">
                  <c:v>245711.3671875</c:v>
                </c:pt>
                <c:pt idx="22">
                  <c:v>272153.21354166669</c:v>
                </c:pt>
                <c:pt idx="23">
                  <c:v>311746.234375</c:v>
                </c:pt>
                <c:pt idx="24">
                  <c:v>341400.671875</c:v>
                </c:pt>
                <c:pt idx="25">
                  <c:v>365235.85416666669</c:v>
                </c:pt>
                <c:pt idx="26">
                  <c:v>386006.13541666669</c:v>
                </c:pt>
                <c:pt idx="27">
                  <c:v>406387.83333333331</c:v>
                </c:pt>
                <c:pt idx="28">
                  <c:v>421671.96875</c:v>
                </c:pt>
                <c:pt idx="29">
                  <c:v>434596.80208333331</c:v>
                </c:pt>
                <c:pt idx="30">
                  <c:v>445098.28125</c:v>
                </c:pt>
                <c:pt idx="31">
                  <c:v>454246.09375</c:v>
                </c:pt>
                <c:pt idx="32">
                  <c:v>463403.14583333331</c:v>
                </c:pt>
                <c:pt idx="33">
                  <c:v>470335.30208333331</c:v>
                </c:pt>
                <c:pt idx="34">
                  <c:v>475833.96875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891-4C6C-8896-59D87E3C62A8}"/>
            </c:ext>
          </c:extLst>
        </c:ser>
        <c:ser>
          <c:idx val="4"/>
          <c:order val="4"/>
          <c:tx>
            <c:strRef>
              <c:f>sample8!$Y$1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sample8!$T$2:$T$36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sample8!$Y$2:$Y$36</c:f>
              <c:numCache>
                <c:formatCode>#,##0.000</c:formatCode>
                <c:ptCount val="35"/>
                <c:pt idx="0">
                  <c:v>797.51750691731775</c:v>
                </c:pt>
                <c:pt idx="1">
                  <c:v>889.91796875</c:v>
                </c:pt>
                <c:pt idx="2">
                  <c:v>463.46552530924481</c:v>
                </c:pt>
                <c:pt idx="3">
                  <c:v>52.468816121419273</c:v>
                </c:pt>
                <c:pt idx="4">
                  <c:v>-90.935432434082031</c:v>
                </c:pt>
                <c:pt idx="5">
                  <c:v>-360.48812611897785</c:v>
                </c:pt>
                <c:pt idx="6">
                  <c:v>-214.60068353017172</c:v>
                </c:pt>
                <c:pt idx="7">
                  <c:v>84.351806640625</c:v>
                </c:pt>
                <c:pt idx="8">
                  <c:v>220.00484212239584</c:v>
                </c:pt>
                <c:pt idx="9">
                  <c:v>142.75553385416666</c:v>
                </c:pt>
                <c:pt idx="10">
                  <c:v>-5.1500078837076826</c:v>
                </c:pt>
                <c:pt idx="11">
                  <c:v>-208.66625213623047</c:v>
                </c:pt>
                <c:pt idx="12">
                  <c:v>-270.51841672261554</c:v>
                </c:pt>
                <c:pt idx="13">
                  <c:v>-169.07762400309244</c:v>
                </c:pt>
                <c:pt idx="14">
                  <c:v>43.078023274739586</c:v>
                </c:pt>
                <c:pt idx="15">
                  <c:v>35.723253885904946</c:v>
                </c:pt>
                <c:pt idx="16">
                  <c:v>32.769515991210938</c:v>
                </c:pt>
                <c:pt idx="17">
                  <c:v>122.83401489257812</c:v>
                </c:pt>
                <c:pt idx="18">
                  <c:v>211.63809839884439</c:v>
                </c:pt>
                <c:pt idx="19">
                  <c:v>350.31327311197919</c:v>
                </c:pt>
                <c:pt idx="20">
                  <c:v>983.90380732218421</c:v>
                </c:pt>
                <c:pt idx="21">
                  <c:v>1304.3680419921875</c:v>
                </c:pt>
                <c:pt idx="22">
                  <c:v>1356.4065043131511</c:v>
                </c:pt>
                <c:pt idx="23">
                  <c:v>1870.7457478841145</c:v>
                </c:pt>
                <c:pt idx="24">
                  <c:v>3109.5107421875</c:v>
                </c:pt>
                <c:pt idx="25">
                  <c:v>5346.169108072917</c:v>
                </c:pt>
                <c:pt idx="26">
                  <c:v>9856.2662760416661</c:v>
                </c:pt>
                <c:pt idx="27">
                  <c:v>18125.140625</c:v>
                </c:pt>
                <c:pt idx="28">
                  <c:v>33596.067057291664</c:v>
                </c:pt>
                <c:pt idx="29">
                  <c:v>61323.302083333336</c:v>
                </c:pt>
                <c:pt idx="30">
                  <c:v>107005.75260416667</c:v>
                </c:pt>
                <c:pt idx="31">
                  <c:v>172850.265625</c:v>
                </c:pt>
                <c:pt idx="32">
                  <c:v>250602.234375</c:v>
                </c:pt>
                <c:pt idx="33">
                  <c:v>327480.53125</c:v>
                </c:pt>
                <c:pt idx="34">
                  <c:v>388246.84375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91-4C6C-8896-59D87E3C62A8}"/>
            </c:ext>
          </c:extLst>
        </c:ser>
        <c:ser>
          <c:idx val="5"/>
          <c:order val="5"/>
          <c:tx>
            <c:strRef>
              <c:f>sample8!$Z$1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sample8!$T$2:$T$36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sample8!$Z$2:$Z$36</c:f>
              <c:numCache>
                <c:formatCode>#,##0.000</c:formatCode>
                <c:ptCount val="35"/>
                <c:pt idx="0">
                  <c:v>-1624.6587320963542</c:v>
                </c:pt>
                <c:pt idx="1">
                  <c:v>-459.92423502604169</c:v>
                </c:pt>
                <c:pt idx="2">
                  <c:v>258.85712178548175</c:v>
                </c:pt>
                <c:pt idx="3">
                  <c:v>270.73223876953125</c:v>
                </c:pt>
                <c:pt idx="4">
                  <c:v>-8.2780688603719081</c:v>
                </c:pt>
                <c:pt idx="5">
                  <c:v>-242.7467130025228</c:v>
                </c:pt>
                <c:pt idx="6">
                  <c:v>-182.27264658610025</c:v>
                </c:pt>
                <c:pt idx="7">
                  <c:v>179.65454610188803</c:v>
                </c:pt>
                <c:pt idx="8">
                  <c:v>368.87861124674481</c:v>
                </c:pt>
                <c:pt idx="9">
                  <c:v>102.54538853963216</c:v>
                </c:pt>
                <c:pt idx="10">
                  <c:v>-216.17846171061197</c:v>
                </c:pt>
                <c:pt idx="11">
                  <c:v>-297.88669840494794</c:v>
                </c:pt>
                <c:pt idx="12">
                  <c:v>-226.09491411844888</c:v>
                </c:pt>
                <c:pt idx="13">
                  <c:v>-161.75106302897134</c:v>
                </c:pt>
                <c:pt idx="14">
                  <c:v>-237.1519915262858</c:v>
                </c:pt>
                <c:pt idx="15">
                  <c:v>-282.29772186279297</c:v>
                </c:pt>
                <c:pt idx="16">
                  <c:v>-346.96427408854169</c:v>
                </c:pt>
                <c:pt idx="17">
                  <c:v>33.478546142578125</c:v>
                </c:pt>
                <c:pt idx="18">
                  <c:v>427.84324137369794</c:v>
                </c:pt>
                <c:pt idx="19">
                  <c:v>307.27561950683594</c:v>
                </c:pt>
                <c:pt idx="20">
                  <c:v>374.09344482421875</c:v>
                </c:pt>
                <c:pt idx="21">
                  <c:v>343.77584838867188</c:v>
                </c:pt>
                <c:pt idx="22">
                  <c:v>671.85927327473962</c:v>
                </c:pt>
                <c:pt idx="23">
                  <c:v>1227.7604573567708</c:v>
                </c:pt>
                <c:pt idx="24">
                  <c:v>1742.8907877604167</c:v>
                </c:pt>
                <c:pt idx="25">
                  <c:v>2229.4637451171875</c:v>
                </c:pt>
                <c:pt idx="26">
                  <c:v>2527.0576171875</c:v>
                </c:pt>
                <c:pt idx="27">
                  <c:v>3522.021240234375</c:v>
                </c:pt>
                <c:pt idx="28">
                  <c:v>4943.578694661458</c:v>
                </c:pt>
                <c:pt idx="29">
                  <c:v>6965.620524088542</c:v>
                </c:pt>
                <c:pt idx="30">
                  <c:v>10312.703776041666</c:v>
                </c:pt>
                <c:pt idx="31">
                  <c:v>14315.449055989584</c:v>
                </c:pt>
                <c:pt idx="32">
                  <c:v>19330.772135416668</c:v>
                </c:pt>
                <c:pt idx="33">
                  <c:v>25815.625651041668</c:v>
                </c:pt>
                <c:pt idx="34">
                  <c:v>32735.2265625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91-4C6C-8896-59D87E3C62A8}"/>
            </c:ext>
          </c:extLst>
        </c:ser>
        <c:ser>
          <c:idx val="6"/>
          <c:order val="6"/>
          <c:tx>
            <c:strRef>
              <c:f>sample8!$AA$1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sample8!$T$2:$T$36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sample8!$AA$2:$AA$36</c:f>
              <c:numCache>
                <c:formatCode>#,##0.000</c:formatCode>
                <c:ptCount val="35"/>
                <c:pt idx="0">
                  <c:v>663.65085856119788</c:v>
                </c:pt>
                <c:pt idx="1">
                  <c:v>1223.5150324503581</c:v>
                </c:pt>
                <c:pt idx="2">
                  <c:v>1015.7126134236654</c:v>
                </c:pt>
                <c:pt idx="3">
                  <c:v>255.91539510091147</c:v>
                </c:pt>
                <c:pt idx="4">
                  <c:v>132.68324788411459</c:v>
                </c:pt>
                <c:pt idx="5">
                  <c:v>8.901619265476862</c:v>
                </c:pt>
                <c:pt idx="6">
                  <c:v>-168.60134887695312</c:v>
                </c:pt>
                <c:pt idx="7">
                  <c:v>-456.72414143880206</c:v>
                </c:pt>
                <c:pt idx="8">
                  <c:v>-513.0916646321615</c:v>
                </c:pt>
                <c:pt idx="9">
                  <c:v>-440.01134490966797</c:v>
                </c:pt>
                <c:pt idx="10">
                  <c:v>-356.29555765787762</c:v>
                </c:pt>
                <c:pt idx="11">
                  <c:v>-188.69437917073569</c:v>
                </c:pt>
                <c:pt idx="12">
                  <c:v>-36.929128011067711</c:v>
                </c:pt>
                <c:pt idx="13">
                  <c:v>84.99237060546875</c:v>
                </c:pt>
                <c:pt idx="14">
                  <c:v>-120.83872985839844</c:v>
                </c:pt>
                <c:pt idx="15">
                  <c:v>30.895273844401043</c:v>
                </c:pt>
                <c:pt idx="16">
                  <c:v>56.079780578613281</c:v>
                </c:pt>
                <c:pt idx="17">
                  <c:v>-5.57421875</c:v>
                </c:pt>
                <c:pt idx="18">
                  <c:v>168.35508728027344</c:v>
                </c:pt>
                <c:pt idx="19">
                  <c:v>72.458872477213546</c:v>
                </c:pt>
                <c:pt idx="20">
                  <c:v>427.81526056925458</c:v>
                </c:pt>
                <c:pt idx="21">
                  <c:v>920.35915120442712</c:v>
                </c:pt>
                <c:pt idx="22">
                  <c:v>1099.1843363444011</c:v>
                </c:pt>
                <c:pt idx="23">
                  <c:v>1476.8271382649739</c:v>
                </c:pt>
                <c:pt idx="24">
                  <c:v>2187.9648234049478</c:v>
                </c:pt>
                <c:pt idx="25">
                  <c:v>3144.253458658854</c:v>
                </c:pt>
                <c:pt idx="26">
                  <c:v>4913.974609375</c:v>
                </c:pt>
                <c:pt idx="27">
                  <c:v>7811.393391927083</c:v>
                </c:pt>
                <c:pt idx="28">
                  <c:v>12744.677083333334</c:v>
                </c:pt>
                <c:pt idx="29">
                  <c:v>21939.593098958332</c:v>
                </c:pt>
                <c:pt idx="30">
                  <c:v>36717.067057291664</c:v>
                </c:pt>
                <c:pt idx="31">
                  <c:v>58065.764322916664</c:v>
                </c:pt>
                <c:pt idx="32">
                  <c:v>85406.174479166672</c:v>
                </c:pt>
                <c:pt idx="33">
                  <c:v>117132.20572916667</c:v>
                </c:pt>
                <c:pt idx="34">
                  <c:v>145855.41145833334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891-4C6C-8896-59D87E3C62A8}"/>
            </c:ext>
          </c:extLst>
        </c:ser>
        <c:ser>
          <c:idx val="7"/>
          <c:order val="7"/>
          <c:tx>
            <c:strRef>
              <c:f>sample8!$AB$1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sample8!$T$2:$T$36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sample8!$AB$2:$AB$36</c:f>
              <c:numCache>
                <c:formatCode>#,##0.000</c:formatCode>
                <c:ptCount val="35"/>
                <c:pt idx="0">
                  <c:v>-1890.515848795573</c:v>
                </c:pt>
                <c:pt idx="1">
                  <c:v>-1128.4744453430176</c:v>
                </c:pt>
                <c:pt idx="2">
                  <c:v>-355.94344075520831</c:v>
                </c:pt>
                <c:pt idx="3">
                  <c:v>65.066767374674484</c:v>
                </c:pt>
                <c:pt idx="4">
                  <c:v>236.89205423990884</c:v>
                </c:pt>
                <c:pt idx="5">
                  <c:v>-126.63681538899739</c:v>
                </c:pt>
                <c:pt idx="6">
                  <c:v>-35.795908610026039</c:v>
                </c:pt>
                <c:pt idx="7">
                  <c:v>572.297607421875</c:v>
                </c:pt>
                <c:pt idx="8">
                  <c:v>468.29999796549481</c:v>
                </c:pt>
                <c:pt idx="9">
                  <c:v>37.094024658203125</c:v>
                </c:pt>
                <c:pt idx="10">
                  <c:v>-375.56765747070312</c:v>
                </c:pt>
                <c:pt idx="11">
                  <c:v>-288.56789143880206</c:v>
                </c:pt>
                <c:pt idx="12">
                  <c:v>-304.40144856770831</c:v>
                </c:pt>
                <c:pt idx="13">
                  <c:v>-243.00325012207031</c:v>
                </c:pt>
                <c:pt idx="14">
                  <c:v>66.126734415690109</c:v>
                </c:pt>
                <c:pt idx="15">
                  <c:v>210.96504465738931</c:v>
                </c:pt>
                <c:pt idx="16">
                  <c:v>84.212209065755204</c:v>
                </c:pt>
                <c:pt idx="17">
                  <c:v>-260.06667582194012</c:v>
                </c:pt>
                <c:pt idx="18">
                  <c:v>-145.86115519205728</c:v>
                </c:pt>
                <c:pt idx="19">
                  <c:v>248.99538167317709</c:v>
                </c:pt>
                <c:pt idx="20">
                  <c:v>430.52638626098633</c:v>
                </c:pt>
                <c:pt idx="21">
                  <c:v>885.83868408203125</c:v>
                </c:pt>
                <c:pt idx="22">
                  <c:v>1261.6795654296875</c:v>
                </c:pt>
                <c:pt idx="23">
                  <c:v>1961.8304036458333</c:v>
                </c:pt>
                <c:pt idx="24">
                  <c:v>3411.0228678385415</c:v>
                </c:pt>
                <c:pt idx="25">
                  <c:v>5143.298665364583</c:v>
                </c:pt>
                <c:pt idx="26">
                  <c:v>9178.5849609375</c:v>
                </c:pt>
                <c:pt idx="27">
                  <c:v>17062.027018229168</c:v>
                </c:pt>
                <c:pt idx="28">
                  <c:v>31704.159505208332</c:v>
                </c:pt>
                <c:pt idx="29">
                  <c:v>56662.014322916664</c:v>
                </c:pt>
                <c:pt idx="30">
                  <c:v>95668.916666666672</c:v>
                </c:pt>
                <c:pt idx="31">
                  <c:v>147914.57291666666</c:v>
                </c:pt>
                <c:pt idx="32">
                  <c:v>204565.65625</c:v>
                </c:pt>
                <c:pt idx="33">
                  <c:v>260954.3125</c:v>
                </c:pt>
                <c:pt idx="34">
                  <c:v>307979.25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891-4C6C-8896-59D87E3C6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28064"/>
        <c:axId val="681170784"/>
      </c:scatterChart>
      <c:valAx>
        <c:axId val="693728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81170784"/>
        <c:crosses val="autoZero"/>
        <c:crossBetween val="midCat"/>
      </c:valAx>
      <c:valAx>
        <c:axId val="68117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93728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 sz="1800" b="0" i="0" baseline="0">
                <a:effectLst/>
              </a:rPr>
              <a:t>Porites sample 9 outle</a:t>
            </a:r>
            <a:endParaRPr lang="zh-TW" altLang="zh-TW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sample9!$V$1</c:f>
              <c:strCache>
                <c:ptCount val="1"/>
                <c:pt idx="0">
                  <c:v>summer(C)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sample9!$U$2:$U$36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sample9!$V$2:$V$36</c:f>
              <c:numCache>
                <c:formatCode>#,##0.000</c:formatCode>
                <c:ptCount val="35"/>
                <c:pt idx="0">
                  <c:v>-154.22703043619791</c:v>
                </c:pt>
                <c:pt idx="1">
                  <c:v>205.40437825520834</c:v>
                </c:pt>
                <c:pt idx="2">
                  <c:v>572.14259847005212</c:v>
                </c:pt>
                <c:pt idx="3">
                  <c:v>438.54226684570312</c:v>
                </c:pt>
                <c:pt idx="4">
                  <c:v>342.51222737630206</c:v>
                </c:pt>
                <c:pt idx="5">
                  <c:v>11.661898612976074</c:v>
                </c:pt>
                <c:pt idx="6">
                  <c:v>76.111045837402344</c:v>
                </c:pt>
                <c:pt idx="7">
                  <c:v>95.492485046386719</c:v>
                </c:pt>
                <c:pt idx="8">
                  <c:v>-58.145609537760414</c:v>
                </c:pt>
                <c:pt idx="9">
                  <c:v>-110.5831807454427</c:v>
                </c:pt>
                <c:pt idx="10">
                  <c:v>-353.02596282958984</c:v>
                </c:pt>
                <c:pt idx="11">
                  <c:v>-425.01692738135654</c:v>
                </c:pt>
                <c:pt idx="12">
                  <c:v>-358.77220344543457</c:v>
                </c:pt>
                <c:pt idx="13">
                  <c:v>-425.97280883789062</c:v>
                </c:pt>
                <c:pt idx="14">
                  <c:v>-772.07185395558679</c:v>
                </c:pt>
                <c:pt idx="15">
                  <c:v>-1105.5093892415364</c:v>
                </c:pt>
                <c:pt idx="16">
                  <c:v>-1011.2633768717448</c:v>
                </c:pt>
                <c:pt idx="17">
                  <c:v>-1071.8819478352864</c:v>
                </c:pt>
                <c:pt idx="18">
                  <c:v>-1168.7687683105469</c:v>
                </c:pt>
                <c:pt idx="19">
                  <c:v>-1430.9394226074219</c:v>
                </c:pt>
                <c:pt idx="20">
                  <c:v>-1580.3274434407551</c:v>
                </c:pt>
                <c:pt idx="21">
                  <c:v>-1579.0424448649089</c:v>
                </c:pt>
                <c:pt idx="22">
                  <c:v>-1459.4370625813801</c:v>
                </c:pt>
                <c:pt idx="23">
                  <c:v>-1584.8056335449219</c:v>
                </c:pt>
                <c:pt idx="24">
                  <c:v>-2015.4735310872395</c:v>
                </c:pt>
                <c:pt idx="25">
                  <c:v>-2140.0204874674478</c:v>
                </c:pt>
                <c:pt idx="26">
                  <c:v>-1836.7692718505859</c:v>
                </c:pt>
                <c:pt idx="27">
                  <c:v>-1957.5779418945312</c:v>
                </c:pt>
                <c:pt idx="28">
                  <c:v>-2043.2277679443359</c:v>
                </c:pt>
                <c:pt idx="29">
                  <c:v>-2009.9453042348225</c:v>
                </c:pt>
                <c:pt idx="30">
                  <c:v>-2216.6406962076821</c:v>
                </c:pt>
                <c:pt idx="31">
                  <c:v>-2448.2670771280923</c:v>
                </c:pt>
                <c:pt idx="32">
                  <c:v>-2617.7866999308267</c:v>
                </c:pt>
                <c:pt idx="33">
                  <c:v>-2586.5107472737632</c:v>
                </c:pt>
                <c:pt idx="34">
                  <c:v>-2510.3114420572915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08-4AE0-A3A7-593CA3B6CF37}"/>
            </c:ext>
          </c:extLst>
        </c:ser>
        <c:ser>
          <c:idx val="1"/>
          <c:order val="1"/>
          <c:tx>
            <c:strRef>
              <c:f>sample9!$W$1</c:f>
              <c:strCache>
                <c:ptCount val="1"/>
                <c:pt idx="0">
                  <c:v>winter(C)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sample9!$U$2:$U$36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sample9!$W$2:$W$36</c:f>
              <c:numCache>
                <c:formatCode>#,##0.000</c:formatCode>
                <c:ptCount val="35"/>
                <c:pt idx="0">
                  <c:v>-1204.7606608072917</c:v>
                </c:pt>
                <c:pt idx="1">
                  <c:v>-757.68790690104163</c:v>
                </c:pt>
                <c:pt idx="2">
                  <c:v>-282.23225911458331</c:v>
                </c:pt>
                <c:pt idx="3">
                  <c:v>-8.7609659830729161</c:v>
                </c:pt>
                <c:pt idx="4">
                  <c:v>74.551345825195312</c:v>
                </c:pt>
                <c:pt idx="5">
                  <c:v>175.70233154296875</c:v>
                </c:pt>
                <c:pt idx="6">
                  <c:v>491.025146484375</c:v>
                </c:pt>
                <c:pt idx="7">
                  <c:v>202.64481608072916</c:v>
                </c:pt>
                <c:pt idx="8">
                  <c:v>-356.57402547200519</c:v>
                </c:pt>
                <c:pt idx="9">
                  <c:v>-951.09233601888025</c:v>
                </c:pt>
                <c:pt idx="10">
                  <c:v>-812.92578125</c:v>
                </c:pt>
                <c:pt idx="11">
                  <c:v>-1005.6264444986979</c:v>
                </c:pt>
                <c:pt idx="12">
                  <c:v>-1512.9702631632488</c:v>
                </c:pt>
                <c:pt idx="13">
                  <c:v>-1406.6422932942708</c:v>
                </c:pt>
                <c:pt idx="14">
                  <c:v>114.21968587239583</c:v>
                </c:pt>
                <c:pt idx="15">
                  <c:v>281.43827311197919</c:v>
                </c:pt>
                <c:pt idx="16">
                  <c:v>324.24800618489581</c:v>
                </c:pt>
                <c:pt idx="17">
                  <c:v>751.33382161458337</c:v>
                </c:pt>
                <c:pt idx="18">
                  <c:v>1030.1802571614583</c:v>
                </c:pt>
                <c:pt idx="19">
                  <c:v>395.96651204427081</c:v>
                </c:pt>
                <c:pt idx="20">
                  <c:v>-386.73933919270831</c:v>
                </c:pt>
                <c:pt idx="21">
                  <c:v>-498.86960856119794</c:v>
                </c:pt>
                <c:pt idx="22">
                  <c:v>-629.79685465494788</c:v>
                </c:pt>
                <c:pt idx="23">
                  <c:v>-778.19281005859375</c:v>
                </c:pt>
                <c:pt idx="24">
                  <c:v>-1617.8804321289062</c:v>
                </c:pt>
                <c:pt idx="25">
                  <c:v>-2263.7944997151694</c:v>
                </c:pt>
                <c:pt idx="26">
                  <c:v>-2287.9534912109375</c:v>
                </c:pt>
                <c:pt idx="27">
                  <c:v>-2369.2739817301431</c:v>
                </c:pt>
                <c:pt idx="28">
                  <c:v>-2533.1307373046875</c:v>
                </c:pt>
                <c:pt idx="29">
                  <c:v>-2558.211629231771</c:v>
                </c:pt>
                <c:pt idx="30">
                  <c:v>-2728.9930216471353</c:v>
                </c:pt>
                <c:pt idx="31">
                  <c:v>-2984.4930013020835</c:v>
                </c:pt>
                <c:pt idx="32">
                  <c:v>-3524.706787109375</c:v>
                </c:pt>
                <c:pt idx="33">
                  <c:v>-3717.3473307291665</c:v>
                </c:pt>
                <c:pt idx="34">
                  <c:v>-3438.1158854166665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08-4AE0-A3A7-593CA3B6CF37}"/>
            </c:ext>
          </c:extLst>
        </c:ser>
        <c:ser>
          <c:idx val="2"/>
          <c:order val="2"/>
          <c:tx>
            <c:strRef>
              <c:f>sample9!$X$1</c:f>
              <c:strCache>
                <c:ptCount val="1"/>
                <c:pt idx="0">
                  <c:v>spring(C)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sample9!$U$2:$U$36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sample9!$X$2:$X$36</c:f>
              <c:numCache>
                <c:formatCode>#,##0.000</c:formatCode>
                <c:ptCount val="35"/>
                <c:pt idx="0">
                  <c:v>-2382.1549072265625</c:v>
                </c:pt>
                <c:pt idx="1">
                  <c:v>-1479.6219177246094</c:v>
                </c:pt>
                <c:pt idx="2">
                  <c:v>-629.1776123046875</c:v>
                </c:pt>
                <c:pt idx="3">
                  <c:v>-458.33725992838544</c:v>
                </c:pt>
                <c:pt idx="4">
                  <c:v>-178.3850154876709</c:v>
                </c:pt>
                <c:pt idx="5">
                  <c:v>204.0073439280192</c:v>
                </c:pt>
                <c:pt idx="6">
                  <c:v>355.24864959716797</c:v>
                </c:pt>
                <c:pt idx="7">
                  <c:v>697.48214213053382</c:v>
                </c:pt>
                <c:pt idx="8">
                  <c:v>719.92660522460938</c:v>
                </c:pt>
                <c:pt idx="9">
                  <c:v>522.36581420898438</c:v>
                </c:pt>
                <c:pt idx="10">
                  <c:v>309.8597462972005</c:v>
                </c:pt>
                <c:pt idx="11">
                  <c:v>61.723459879557289</c:v>
                </c:pt>
                <c:pt idx="12">
                  <c:v>-87.912831624348954</c:v>
                </c:pt>
                <c:pt idx="13">
                  <c:v>103.9274190266927</c:v>
                </c:pt>
                <c:pt idx="14">
                  <c:v>-134.96664937337241</c:v>
                </c:pt>
                <c:pt idx="15">
                  <c:v>-285.32952880859375</c:v>
                </c:pt>
                <c:pt idx="16">
                  <c:v>-173.48923746744791</c:v>
                </c:pt>
                <c:pt idx="17">
                  <c:v>-304.20625813802081</c:v>
                </c:pt>
                <c:pt idx="18">
                  <c:v>-372.84776814778644</c:v>
                </c:pt>
                <c:pt idx="19">
                  <c:v>-235.80958048502603</c:v>
                </c:pt>
                <c:pt idx="20">
                  <c:v>117.9916254679362</c:v>
                </c:pt>
                <c:pt idx="21">
                  <c:v>-40.36602783203125</c:v>
                </c:pt>
                <c:pt idx="22">
                  <c:v>-651.17417399088538</c:v>
                </c:pt>
                <c:pt idx="23">
                  <c:v>-694.464121500651</c:v>
                </c:pt>
                <c:pt idx="24">
                  <c:v>-166.14206949869791</c:v>
                </c:pt>
                <c:pt idx="25">
                  <c:v>78.38830693562825</c:v>
                </c:pt>
                <c:pt idx="26">
                  <c:v>96.621810913085938</c:v>
                </c:pt>
                <c:pt idx="27">
                  <c:v>175.2303007443746</c:v>
                </c:pt>
                <c:pt idx="28">
                  <c:v>289.17475382486981</c:v>
                </c:pt>
                <c:pt idx="29">
                  <c:v>199.06710815429688</c:v>
                </c:pt>
                <c:pt idx="30">
                  <c:v>-29.360860188802082</c:v>
                </c:pt>
                <c:pt idx="31">
                  <c:v>-4.044026692708333</c:v>
                </c:pt>
                <c:pt idx="32">
                  <c:v>200.80930582682291</c:v>
                </c:pt>
                <c:pt idx="33">
                  <c:v>314.1885986328125</c:v>
                </c:pt>
                <c:pt idx="34">
                  <c:v>486.547119140625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208-4AE0-A3A7-593CA3B6CF37}"/>
            </c:ext>
          </c:extLst>
        </c:ser>
        <c:ser>
          <c:idx val="3"/>
          <c:order val="3"/>
          <c:tx>
            <c:strRef>
              <c:f>sample9!$Y$1</c:f>
              <c:strCache>
                <c:ptCount val="1"/>
                <c:pt idx="0">
                  <c:v>fall(C)</c:v>
                </c:pt>
              </c:strCache>
            </c:strRef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sample9!$U$2:$U$36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sample9!$Y$2:$Y$36</c:f>
              <c:numCache>
                <c:formatCode>#,##0.000</c:formatCode>
                <c:ptCount val="35"/>
                <c:pt idx="0">
                  <c:v>-1186.1534016927083</c:v>
                </c:pt>
                <c:pt idx="1">
                  <c:v>-893.29388427734375</c:v>
                </c:pt>
                <c:pt idx="2">
                  <c:v>-387.87836710611981</c:v>
                </c:pt>
                <c:pt idx="3">
                  <c:v>-113.29357401529948</c:v>
                </c:pt>
                <c:pt idx="4">
                  <c:v>-18.08507792154948</c:v>
                </c:pt>
                <c:pt idx="5">
                  <c:v>51.575241088867188</c:v>
                </c:pt>
                <c:pt idx="6">
                  <c:v>-22.627723058064777</c:v>
                </c:pt>
                <c:pt idx="7">
                  <c:v>146.25655364990234</c:v>
                </c:pt>
                <c:pt idx="8">
                  <c:v>-88.54015986124675</c:v>
                </c:pt>
                <c:pt idx="9">
                  <c:v>-95.161089579264328</c:v>
                </c:pt>
                <c:pt idx="10">
                  <c:v>67.0916748046875</c:v>
                </c:pt>
                <c:pt idx="11">
                  <c:v>111.16344197591145</c:v>
                </c:pt>
                <c:pt idx="12">
                  <c:v>52.999547322591148</c:v>
                </c:pt>
                <c:pt idx="13">
                  <c:v>17.810902913411457</c:v>
                </c:pt>
                <c:pt idx="14">
                  <c:v>-87.737101236979171</c:v>
                </c:pt>
                <c:pt idx="15">
                  <c:v>-308.87367248535156</c:v>
                </c:pt>
                <c:pt idx="16">
                  <c:v>-407.87611134847003</c:v>
                </c:pt>
                <c:pt idx="17">
                  <c:v>-450.01528167724609</c:v>
                </c:pt>
                <c:pt idx="18">
                  <c:v>-291.90964698791504</c:v>
                </c:pt>
                <c:pt idx="19">
                  <c:v>-72.077458699544266</c:v>
                </c:pt>
                <c:pt idx="20">
                  <c:v>7.684427897135417</c:v>
                </c:pt>
                <c:pt idx="21">
                  <c:v>-232.0875244140625</c:v>
                </c:pt>
                <c:pt idx="22">
                  <c:v>-629.10434977213538</c:v>
                </c:pt>
                <c:pt idx="23">
                  <c:v>-565.36586507161462</c:v>
                </c:pt>
                <c:pt idx="24">
                  <c:v>-593.52845764160156</c:v>
                </c:pt>
                <c:pt idx="25">
                  <c:v>-752.91897583007812</c:v>
                </c:pt>
                <c:pt idx="26">
                  <c:v>-676.06330362955725</c:v>
                </c:pt>
                <c:pt idx="27">
                  <c:v>-698.58395385742188</c:v>
                </c:pt>
                <c:pt idx="28">
                  <c:v>-794.7791748046875</c:v>
                </c:pt>
                <c:pt idx="29">
                  <c:v>-840.43912760416663</c:v>
                </c:pt>
                <c:pt idx="30">
                  <c:v>-789.26185607910156</c:v>
                </c:pt>
                <c:pt idx="31">
                  <c:v>-913.80862744649255</c:v>
                </c:pt>
                <c:pt idx="32">
                  <c:v>-820.186045328776</c:v>
                </c:pt>
                <c:pt idx="33">
                  <c:v>-880.47361246744788</c:v>
                </c:pt>
                <c:pt idx="34">
                  <c:v>-701.75996907552087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208-4AE0-A3A7-593CA3B6CF37}"/>
            </c:ext>
          </c:extLst>
        </c:ser>
        <c:ser>
          <c:idx val="4"/>
          <c:order val="4"/>
          <c:tx>
            <c:strRef>
              <c:f>sample9!$Z$1</c:f>
              <c:strCache>
                <c:ptCount val="1"/>
                <c:pt idx="0">
                  <c:v>summer(D)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sample9!$U$2:$U$36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sample9!$Z$2:$Z$36</c:f>
              <c:numCache>
                <c:formatCode>#,##0.000</c:formatCode>
                <c:ptCount val="35"/>
                <c:pt idx="0">
                  <c:v>1952.6522216796875</c:v>
                </c:pt>
                <c:pt idx="1">
                  <c:v>1615.2100626627605</c:v>
                </c:pt>
                <c:pt idx="2">
                  <c:v>1079.1468200683594</c:v>
                </c:pt>
                <c:pt idx="3">
                  <c:v>631.81919352213538</c:v>
                </c:pt>
                <c:pt idx="4">
                  <c:v>546.457763671875</c:v>
                </c:pt>
                <c:pt idx="5">
                  <c:v>456.45050048828125</c:v>
                </c:pt>
                <c:pt idx="6">
                  <c:v>320.43800862630206</c:v>
                </c:pt>
                <c:pt idx="7">
                  <c:v>190.20418294270834</c:v>
                </c:pt>
                <c:pt idx="8">
                  <c:v>-76.064809163411454</c:v>
                </c:pt>
                <c:pt idx="9">
                  <c:v>-240.19317626953125</c:v>
                </c:pt>
                <c:pt idx="10">
                  <c:v>-264.26554874579114</c:v>
                </c:pt>
                <c:pt idx="11">
                  <c:v>-266.59053548177081</c:v>
                </c:pt>
                <c:pt idx="12">
                  <c:v>-333.0639483133952</c:v>
                </c:pt>
                <c:pt idx="13">
                  <c:v>-561.01133219401038</c:v>
                </c:pt>
                <c:pt idx="14">
                  <c:v>-664.73996988932288</c:v>
                </c:pt>
                <c:pt idx="15">
                  <c:v>-632.13527425130212</c:v>
                </c:pt>
                <c:pt idx="16">
                  <c:v>-483.57873217264813</c:v>
                </c:pt>
                <c:pt idx="17">
                  <c:v>-333.2214241027832</c:v>
                </c:pt>
                <c:pt idx="18">
                  <c:v>-152.60239156087241</c:v>
                </c:pt>
                <c:pt idx="19">
                  <c:v>-108.41825675964355</c:v>
                </c:pt>
                <c:pt idx="20">
                  <c:v>-150.49584118525186</c:v>
                </c:pt>
                <c:pt idx="21">
                  <c:v>-359.63331858317059</c:v>
                </c:pt>
                <c:pt idx="22">
                  <c:v>-511.45179239908856</c:v>
                </c:pt>
                <c:pt idx="23">
                  <c:v>-542.00856526692712</c:v>
                </c:pt>
                <c:pt idx="24">
                  <c:v>-314.28535461425781</c:v>
                </c:pt>
                <c:pt idx="25">
                  <c:v>-57.481435139973961</c:v>
                </c:pt>
                <c:pt idx="26">
                  <c:v>34.957906087239586</c:v>
                </c:pt>
                <c:pt idx="27">
                  <c:v>117.57824198404948</c:v>
                </c:pt>
                <c:pt idx="28">
                  <c:v>158.900390625</c:v>
                </c:pt>
                <c:pt idx="29">
                  <c:v>181.41525650024414</c:v>
                </c:pt>
                <c:pt idx="30">
                  <c:v>327.30380757649738</c:v>
                </c:pt>
                <c:pt idx="31">
                  <c:v>534.46321105957031</c:v>
                </c:pt>
                <c:pt idx="32">
                  <c:v>643.88564046223962</c:v>
                </c:pt>
                <c:pt idx="33">
                  <c:v>828.22079467773438</c:v>
                </c:pt>
                <c:pt idx="34">
                  <c:v>1045.7864481608074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208-4AE0-A3A7-593CA3B6CF37}"/>
            </c:ext>
          </c:extLst>
        </c:ser>
        <c:ser>
          <c:idx val="5"/>
          <c:order val="5"/>
          <c:tx>
            <c:strRef>
              <c:f>sample9!$AA$1</c:f>
              <c:strCache>
                <c:ptCount val="1"/>
                <c:pt idx="0">
                  <c:v>winter(D)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sample9!$U$2:$U$36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sample9!$AA$2:$AA$36</c:f>
              <c:numCache>
                <c:formatCode>#,##0.000</c:formatCode>
                <c:ptCount val="35"/>
                <c:pt idx="0">
                  <c:v>-4810.4990234375</c:v>
                </c:pt>
                <c:pt idx="1">
                  <c:v>-3806.0848185221353</c:v>
                </c:pt>
                <c:pt idx="2">
                  <c:v>-2271.1447957356772</c:v>
                </c:pt>
                <c:pt idx="3">
                  <c:v>-1468.5171305338542</c:v>
                </c:pt>
                <c:pt idx="4">
                  <c:v>-617.94942220052087</c:v>
                </c:pt>
                <c:pt idx="5">
                  <c:v>-99.386922200520829</c:v>
                </c:pt>
                <c:pt idx="6">
                  <c:v>359.49068196614581</c:v>
                </c:pt>
                <c:pt idx="7">
                  <c:v>686.3214111328125</c:v>
                </c:pt>
                <c:pt idx="8">
                  <c:v>1030.2250569661458</c:v>
                </c:pt>
                <c:pt idx="9">
                  <c:v>960.01932779947913</c:v>
                </c:pt>
                <c:pt idx="10">
                  <c:v>457.30322265625</c:v>
                </c:pt>
                <c:pt idx="11">
                  <c:v>239.82403564453125</c:v>
                </c:pt>
                <c:pt idx="12">
                  <c:v>276.78759765625</c:v>
                </c:pt>
                <c:pt idx="13">
                  <c:v>463.6807861328125</c:v>
                </c:pt>
                <c:pt idx="14">
                  <c:v>258.75896708170575</c:v>
                </c:pt>
                <c:pt idx="15">
                  <c:v>82.118306477864579</c:v>
                </c:pt>
                <c:pt idx="16">
                  <c:v>56.615712483723961</c:v>
                </c:pt>
                <c:pt idx="17">
                  <c:v>-76.16552734375</c:v>
                </c:pt>
                <c:pt idx="18">
                  <c:v>95.31884765625</c:v>
                </c:pt>
                <c:pt idx="19">
                  <c:v>408.12095133463544</c:v>
                </c:pt>
                <c:pt idx="20">
                  <c:v>459.88136037190753</c:v>
                </c:pt>
                <c:pt idx="21">
                  <c:v>629.35270182291663</c:v>
                </c:pt>
                <c:pt idx="22">
                  <c:v>320.30843861897785</c:v>
                </c:pt>
                <c:pt idx="23">
                  <c:v>124.01938883463542</c:v>
                </c:pt>
                <c:pt idx="24">
                  <c:v>168.25116475423178</c:v>
                </c:pt>
                <c:pt idx="25">
                  <c:v>202.15481058756509</c:v>
                </c:pt>
                <c:pt idx="26">
                  <c:v>132.36834971110025</c:v>
                </c:pt>
                <c:pt idx="27">
                  <c:v>-69.915497461954757</c:v>
                </c:pt>
                <c:pt idx="28">
                  <c:v>-384.40767415364581</c:v>
                </c:pt>
                <c:pt idx="29">
                  <c:v>-549.15766906738281</c:v>
                </c:pt>
                <c:pt idx="30">
                  <c:v>-586.47014872233069</c:v>
                </c:pt>
                <c:pt idx="31">
                  <c:v>-477.56131299336749</c:v>
                </c:pt>
                <c:pt idx="32">
                  <c:v>-444.08732096354169</c:v>
                </c:pt>
                <c:pt idx="33">
                  <c:v>-366.15764872233075</c:v>
                </c:pt>
                <c:pt idx="34">
                  <c:v>-350.25662231445312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208-4AE0-A3A7-593CA3B6CF37}"/>
            </c:ext>
          </c:extLst>
        </c:ser>
        <c:ser>
          <c:idx val="6"/>
          <c:order val="6"/>
          <c:tx>
            <c:strRef>
              <c:f>sample9!$AB$1</c:f>
              <c:strCache>
                <c:ptCount val="1"/>
                <c:pt idx="0">
                  <c:v>spring(D)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sample9!$U$2:$U$36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sample9!$AB$2:$AB$36</c:f>
              <c:numCache>
                <c:formatCode>#,##0.000</c:formatCode>
                <c:ptCount val="35"/>
                <c:pt idx="0">
                  <c:v>1204.3494262695312</c:v>
                </c:pt>
                <c:pt idx="1">
                  <c:v>1527.7812093098958</c:v>
                </c:pt>
                <c:pt idx="2">
                  <c:v>1368.0802001953125</c:v>
                </c:pt>
                <c:pt idx="3">
                  <c:v>1022.7958374023438</c:v>
                </c:pt>
                <c:pt idx="4">
                  <c:v>872.441162109375</c:v>
                </c:pt>
                <c:pt idx="5">
                  <c:v>647.30523681640625</c:v>
                </c:pt>
                <c:pt idx="6">
                  <c:v>331.48182169596356</c:v>
                </c:pt>
                <c:pt idx="7">
                  <c:v>138.37455177307129</c:v>
                </c:pt>
                <c:pt idx="8">
                  <c:v>39.980824788411461</c:v>
                </c:pt>
                <c:pt idx="9">
                  <c:v>-247.82696533203125</c:v>
                </c:pt>
                <c:pt idx="10">
                  <c:v>-354.93684895833331</c:v>
                </c:pt>
                <c:pt idx="11">
                  <c:v>-376.80712890625</c:v>
                </c:pt>
                <c:pt idx="12">
                  <c:v>-636.604502360026</c:v>
                </c:pt>
                <c:pt idx="13">
                  <c:v>-774.43312581380212</c:v>
                </c:pt>
                <c:pt idx="14">
                  <c:v>-670.35811360677087</c:v>
                </c:pt>
                <c:pt idx="15">
                  <c:v>-498.42632293701172</c:v>
                </c:pt>
                <c:pt idx="16">
                  <c:v>-616.08307902018225</c:v>
                </c:pt>
                <c:pt idx="17">
                  <c:v>-897.17732747395837</c:v>
                </c:pt>
                <c:pt idx="18">
                  <c:v>-1032.438232421875</c:v>
                </c:pt>
                <c:pt idx="19">
                  <c:v>-796.74863688151038</c:v>
                </c:pt>
                <c:pt idx="20">
                  <c:v>-528.33506266276038</c:v>
                </c:pt>
                <c:pt idx="21">
                  <c:v>-429.84077962239581</c:v>
                </c:pt>
                <c:pt idx="22">
                  <c:v>-367.61992390950519</c:v>
                </c:pt>
                <c:pt idx="23">
                  <c:v>-115.94333902994792</c:v>
                </c:pt>
                <c:pt idx="24">
                  <c:v>128.9155298868815</c:v>
                </c:pt>
                <c:pt idx="25">
                  <c:v>282.24836730957031</c:v>
                </c:pt>
                <c:pt idx="26">
                  <c:v>361.25567754109699</c:v>
                </c:pt>
                <c:pt idx="27">
                  <c:v>203.78381856282553</c:v>
                </c:pt>
                <c:pt idx="28">
                  <c:v>153.29634348551431</c:v>
                </c:pt>
                <c:pt idx="29">
                  <c:v>229.94949324925742</c:v>
                </c:pt>
                <c:pt idx="30">
                  <c:v>324.60784276326496</c:v>
                </c:pt>
                <c:pt idx="31">
                  <c:v>496.651606241862</c:v>
                </c:pt>
                <c:pt idx="32">
                  <c:v>775.89329020182288</c:v>
                </c:pt>
                <c:pt idx="33">
                  <c:v>966.51778157552087</c:v>
                </c:pt>
                <c:pt idx="34">
                  <c:v>1409.9756469726562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208-4AE0-A3A7-593CA3B6CF37}"/>
            </c:ext>
          </c:extLst>
        </c:ser>
        <c:ser>
          <c:idx val="7"/>
          <c:order val="7"/>
          <c:tx>
            <c:strRef>
              <c:f>sample9!$AC$1</c:f>
              <c:strCache>
                <c:ptCount val="1"/>
                <c:pt idx="0">
                  <c:v>fall(D)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sample9!$U$2:$U$36</c:f>
              <c:numCache>
                <c:formatCode>#,##0</c:formatCode>
                <c:ptCount val="3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</c:numCache>
            </c:numRef>
          </c:xVal>
          <c:yVal>
            <c:numRef>
              <c:f>sample9!$AC$2:$AC$36</c:f>
              <c:numCache>
                <c:formatCode>#,##0.000</c:formatCode>
                <c:ptCount val="35"/>
                <c:pt idx="0">
                  <c:v>-1064.8346354166667</c:v>
                </c:pt>
                <c:pt idx="1">
                  <c:v>-678.87327067057288</c:v>
                </c:pt>
                <c:pt idx="2">
                  <c:v>-446.072021484375</c:v>
                </c:pt>
                <c:pt idx="3">
                  <c:v>-265.1197509765625</c:v>
                </c:pt>
                <c:pt idx="4">
                  <c:v>149.18410237630209</c:v>
                </c:pt>
                <c:pt idx="5">
                  <c:v>355.57387288411456</c:v>
                </c:pt>
                <c:pt idx="6">
                  <c:v>433.6173095703125</c:v>
                </c:pt>
                <c:pt idx="7">
                  <c:v>827.69198608398438</c:v>
                </c:pt>
                <c:pt idx="8">
                  <c:v>925.75103251139319</c:v>
                </c:pt>
                <c:pt idx="9">
                  <c:v>702.61869303385413</c:v>
                </c:pt>
                <c:pt idx="10">
                  <c:v>715.44856770833337</c:v>
                </c:pt>
                <c:pt idx="11">
                  <c:v>949.51021321614587</c:v>
                </c:pt>
                <c:pt idx="12">
                  <c:v>607.84269714355469</c:v>
                </c:pt>
                <c:pt idx="13">
                  <c:v>353.49940745035809</c:v>
                </c:pt>
                <c:pt idx="14">
                  <c:v>639.05195109049475</c:v>
                </c:pt>
                <c:pt idx="15">
                  <c:v>466.66048113505047</c:v>
                </c:pt>
                <c:pt idx="16">
                  <c:v>211.91354370117188</c:v>
                </c:pt>
                <c:pt idx="17">
                  <c:v>101.2030652364095</c:v>
                </c:pt>
                <c:pt idx="18">
                  <c:v>402.88711547851562</c:v>
                </c:pt>
                <c:pt idx="19">
                  <c:v>303.25472005208331</c:v>
                </c:pt>
                <c:pt idx="20">
                  <c:v>145.26824442545572</c:v>
                </c:pt>
                <c:pt idx="21">
                  <c:v>362.22179158528644</c:v>
                </c:pt>
                <c:pt idx="22">
                  <c:v>516.65327962239587</c:v>
                </c:pt>
                <c:pt idx="23">
                  <c:v>209.68494669596353</c:v>
                </c:pt>
                <c:pt idx="24">
                  <c:v>187.71929931640625</c:v>
                </c:pt>
                <c:pt idx="25">
                  <c:v>431.77831141153973</c:v>
                </c:pt>
                <c:pt idx="26">
                  <c:v>209.87125651041666</c:v>
                </c:pt>
                <c:pt idx="27">
                  <c:v>-36.53839111328125</c:v>
                </c:pt>
                <c:pt idx="28">
                  <c:v>117.22503662109375</c:v>
                </c:pt>
                <c:pt idx="29">
                  <c:v>103.2840576171875</c:v>
                </c:pt>
                <c:pt idx="30">
                  <c:v>-92.332715352376297</c:v>
                </c:pt>
                <c:pt idx="31">
                  <c:v>-152.90114339192709</c:v>
                </c:pt>
                <c:pt idx="32">
                  <c:v>-126.41895548502605</c:v>
                </c:pt>
                <c:pt idx="33">
                  <c:v>-293.800048828125</c:v>
                </c:pt>
                <c:pt idx="34">
                  <c:v>-282.53921508789062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208-4AE0-A3A7-593CA3B6C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877280"/>
        <c:axId val="693726816"/>
      </c:scatterChart>
      <c:valAx>
        <c:axId val="69387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93726816"/>
        <c:crosses val="autoZero"/>
        <c:crossBetween val="midCat"/>
      </c:valAx>
      <c:valAx>
        <c:axId val="69372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93877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83820</xdr:colOff>
      <xdr:row>42</xdr:row>
      <xdr:rowOff>186690</xdr:rowOff>
    </xdr:from>
    <xdr:to>
      <xdr:col>26</xdr:col>
      <xdr:colOff>601980</xdr:colOff>
      <xdr:row>56</xdr:row>
      <xdr:rowOff>49530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394446</xdr:colOff>
      <xdr:row>38</xdr:row>
      <xdr:rowOff>58270</xdr:rowOff>
    </xdr:from>
    <xdr:to>
      <xdr:col>26</xdr:col>
      <xdr:colOff>448234</xdr:colOff>
      <xdr:row>51</xdr:row>
      <xdr:rowOff>121023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137160</xdr:colOff>
      <xdr:row>40</xdr:row>
      <xdr:rowOff>49530</xdr:rowOff>
    </xdr:from>
    <xdr:to>
      <xdr:col>27</xdr:col>
      <xdr:colOff>190500</xdr:colOff>
      <xdr:row>53</xdr:row>
      <xdr:rowOff>118110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518160</xdr:colOff>
      <xdr:row>39</xdr:row>
      <xdr:rowOff>148590</xdr:rowOff>
    </xdr:from>
    <xdr:to>
      <xdr:col>27</xdr:col>
      <xdr:colOff>525780</xdr:colOff>
      <xdr:row>53</xdr:row>
      <xdr:rowOff>11430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259080</xdr:colOff>
      <xdr:row>40</xdr:row>
      <xdr:rowOff>140970</xdr:rowOff>
    </xdr:from>
    <xdr:to>
      <xdr:col>27</xdr:col>
      <xdr:colOff>15240</xdr:colOff>
      <xdr:row>54</xdr:row>
      <xdr:rowOff>3810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30480</xdr:colOff>
      <xdr:row>37</xdr:row>
      <xdr:rowOff>57150</xdr:rowOff>
    </xdr:from>
    <xdr:to>
      <xdr:col>27</xdr:col>
      <xdr:colOff>495300</xdr:colOff>
      <xdr:row>50</xdr:row>
      <xdr:rowOff>125730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"/>
  <sheetViews>
    <sheetView topLeftCell="J1" workbookViewId="0">
      <selection activeCell="T1" sqref="T1:AB36"/>
    </sheetView>
  </sheetViews>
  <sheetFormatPr baseColWidth="10" defaultColWidth="8.83203125" defaultRowHeight="16" x14ac:dyDescent="0.2"/>
  <cols>
    <col min="21" max="21" width="13.5" customWidth="1"/>
    <col min="23" max="23" width="15.1640625" customWidth="1"/>
    <col min="24" max="24" width="12.1640625" customWidth="1"/>
    <col min="25" max="25" width="14" customWidth="1"/>
    <col min="26" max="26" width="14.33203125" customWidth="1"/>
  </cols>
  <sheetData>
    <row r="1" spans="1:28" x14ac:dyDescent="0.2">
      <c r="A1" s="1">
        <v>-2233.588134765625</v>
      </c>
      <c r="B1" s="1">
        <v>-1117.1614990234375</v>
      </c>
      <c r="C1" s="1">
        <v>-2223.52197265625</v>
      </c>
      <c r="F1" s="1">
        <v>-1418.015869140625</v>
      </c>
      <c r="G1" s="1">
        <v>-3207.170166015625</v>
      </c>
      <c r="H1" s="1">
        <v>2224.203857421875</v>
      </c>
      <c r="K1" s="1">
        <v>-3636.69970703125</v>
      </c>
      <c r="L1" s="1">
        <v>-3054.322998046875</v>
      </c>
      <c r="M1" s="1">
        <v>-1270.9207763671875</v>
      </c>
      <c r="P1" s="1">
        <v>-246.47486877441406</v>
      </c>
      <c r="Q1" s="1">
        <v>-2091.650146484375</v>
      </c>
      <c r="R1" s="1">
        <v>-231.35197448730469</v>
      </c>
      <c r="U1" s="2" t="s">
        <v>0</v>
      </c>
      <c r="V1" s="2" t="s">
        <v>1</v>
      </c>
      <c r="W1" s="2" t="s">
        <v>2</v>
      </c>
      <c r="X1" s="2" t="s">
        <v>3</v>
      </c>
      <c r="Y1" s="2" t="s">
        <v>4</v>
      </c>
      <c r="Z1" s="2" t="s">
        <v>5</v>
      </c>
      <c r="AA1" s="2" t="s">
        <v>6</v>
      </c>
      <c r="AB1" s="2" t="s">
        <v>7</v>
      </c>
    </row>
    <row r="2" spans="1:28" x14ac:dyDescent="0.2">
      <c r="A2" s="1">
        <v>-1566.853759765625</v>
      </c>
      <c r="B2" s="1">
        <v>-1247.447509765625</v>
      </c>
      <c r="C2" s="1">
        <v>-1397.6177978515625</v>
      </c>
      <c r="F2" s="1">
        <v>-1138.6358642578125</v>
      </c>
      <c r="G2" s="1">
        <v>-2056.5869140625</v>
      </c>
      <c r="H2" s="1">
        <v>2090.412353515625</v>
      </c>
      <c r="K2" s="1">
        <v>-3124.115966796875</v>
      </c>
      <c r="L2" s="1">
        <v>-2784.424072265625</v>
      </c>
      <c r="M2" s="1">
        <v>-591.37725830078125</v>
      </c>
      <c r="P2" s="1">
        <v>-3.2132160663604736</v>
      </c>
      <c r="Q2" s="1">
        <v>-1528.576904296875</v>
      </c>
      <c r="R2" s="1">
        <v>-390.5</v>
      </c>
      <c r="T2" s="3">
        <v>1</v>
      </c>
      <c r="U2" s="4">
        <f>AVERAGE(A1:C1)</f>
        <v>-1858.0905354817708</v>
      </c>
      <c r="V2">
        <f>AVERAGEA(F1:H1)</f>
        <v>-800.327392578125</v>
      </c>
      <c r="W2" s="4">
        <f>AVERAGE(K1:M1)</f>
        <v>-2653.981160481771</v>
      </c>
      <c r="X2">
        <f>AVERAGEA(P1:R1)</f>
        <v>-856.49232991536462</v>
      </c>
      <c r="Y2" s="4">
        <f>AVERAGE(A39:C39)</f>
        <v>-1188.889404296875</v>
      </c>
      <c r="Z2" s="4">
        <f>AVERAGE(F39:H39)</f>
        <v>860.06433614095056</v>
      </c>
      <c r="AA2">
        <f>AVERAGEA(K39:M39)</f>
        <v>-3943.4974772135415</v>
      </c>
      <c r="AB2">
        <f>AVERAGEA(P39:R39)</f>
        <v>314.17322794596356</v>
      </c>
    </row>
    <row r="3" spans="1:28" x14ac:dyDescent="0.2">
      <c r="A3" s="1">
        <v>599.56024169921875</v>
      </c>
      <c r="B3" s="1">
        <v>243.48521423339844</v>
      </c>
      <c r="C3" s="1">
        <v>36.723957061767578</v>
      </c>
      <c r="F3" s="1">
        <v>-743.18939208984375</v>
      </c>
      <c r="G3" s="1">
        <v>-1025.4803466796875</v>
      </c>
      <c r="H3" s="1">
        <v>866.296630859375</v>
      </c>
      <c r="K3" s="1">
        <v>-1119.5013427734375</v>
      </c>
      <c r="L3" s="1">
        <v>-491.05636596679688</v>
      </c>
      <c r="M3" s="1">
        <v>-197.73995971679688</v>
      </c>
      <c r="P3" s="1">
        <v>50.505470275878906</v>
      </c>
      <c r="Q3" s="1">
        <v>-330.65982055664062</v>
      </c>
      <c r="R3" s="1">
        <v>-293.55816650390625</v>
      </c>
      <c r="T3" s="3">
        <v>2</v>
      </c>
      <c r="U3">
        <f>AVERAGEA(A2:C2)</f>
        <v>-1403.9730224609375</v>
      </c>
      <c r="V3" s="4">
        <f>AVERAGE(F2:H2)</f>
        <v>-368.2701416015625</v>
      </c>
      <c r="W3" s="4">
        <f>AVERAGE(K2:M2)</f>
        <v>-2166.6390991210938</v>
      </c>
      <c r="X3" s="4">
        <f>AVERAGE(P2:R2)</f>
        <v>-640.76337345441186</v>
      </c>
      <c r="Y3" s="4">
        <f>AVERAGE(A40:C40)</f>
        <v>-878.5369873046875</v>
      </c>
      <c r="Z3" s="4">
        <f>AVERAGE(K40:M40)</f>
        <v>-3587.8986002604165</v>
      </c>
      <c r="AA3">
        <f>AVERAGEA(K40:M40)</f>
        <v>-3587.8986002604165</v>
      </c>
      <c r="AB3">
        <f>AVERAGEA(P40:R40)</f>
        <v>316.52818806966144</v>
      </c>
    </row>
    <row r="4" spans="1:28" x14ac:dyDescent="0.2">
      <c r="A4" s="1">
        <v>75.310264587402344</v>
      </c>
      <c r="B4" s="1">
        <v>-68.48046875</v>
      </c>
      <c r="C4" s="1">
        <v>204.43284606933594</v>
      </c>
      <c r="F4" s="1">
        <v>-598.848388671875</v>
      </c>
      <c r="G4" s="1">
        <v>-281.78009033203125</v>
      </c>
      <c r="H4" s="1">
        <v>364.03646850585938</v>
      </c>
      <c r="K4" s="1">
        <v>-113.38653564453125</v>
      </c>
      <c r="L4" s="1">
        <v>27.389509201049805</v>
      </c>
      <c r="M4" s="1">
        <v>184.72544860839844</v>
      </c>
      <c r="P4" s="1">
        <v>-328.11959838867188</v>
      </c>
      <c r="Q4" s="1">
        <v>-112.92247772216797</v>
      </c>
      <c r="R4" s="1">
        <v>308.54769897460938</v>
      </c>
      <c r="T4" s="3">
        <v>3</v>
      </c>
      <c r="U4" s="4">
        <f t="shared" ref="U4" si="0">AVERAGE(A3:C3)</f>
        <v>293.25647099812824</v>
      </c>
      <c r="V4">
        <f t="shared" ref="V4" si="1">AVERAGEA(F3:H3)</f>
        <v>-300.79103597005206</v>
      </c>
      <c r="W4" s="4">
        <f t="shared" ref="W4:W36" si="2">AVERAGE(K3:M3)</f>
        <v>-602.76588948567712</v>
      </c>
      <c r="X4">
        <f t="shared" ref="X4" si="3">AVERAGEA(P3:R3)</f>
        <v>-191.23750559488931</v>
      </c>
      <c r="Y4" s="4">
        <f t="shared" ref="Y4:Y36" si="4">AVERAGE(A41:C41)</f>
        <v>45.016021728515625</v>
      </c>
      <c r="Z4" s="4">
        <f t="shared" ref="Z4" si="5">AVERAGE(F41:H41)</f>
        <v>570.34051005045569</v>
      </c>
      <c r="AA4">
        <f t="shared" ref="AA4:AA36" si="6">AVERAGEA(K41:M41)</f>
        <v>-1791.935302734375</v>
      </c>
      <c r="AB4">
        <f t="shared" ref="AB4:AB36" si="7">AVERAGEA(P41:R41)</f>
        <v>69.321922302246094</v>
      </c>
    </row>
    <row r="5" spans="1:28" x14ac:dyDescent="0.2">
      <c r="A5" s="1">
        <v>-473.89285278320312</v>
      </c>
      <c r="B5" s="1">
        <v>-651.0711669921875</v>
      </c>
      <c r="C5" s="1">
        <v>254.90736389160156</v>
      </c>
      <c r="F5" s="1">
        <v>-246.99177551269531</v>
      </c>
      <c r="G5" s="1">
        <v>341.08822631835938</v>
      </c>
      <c r="H5" s="1">
        <v>220.56533813476562</v>
      </c>
      <c r="K5" s="1">
        <v>419.21261596679688</v>
      </c>
      <c r="L5" s="1">
        <v>451.63226318359375</v>
      </c>
      <c r="M5" s="1">
        <v>-32.481025695800781</v>
      </c>
      <c r="P5" s="1">
        <v>106.55612182617188</v>
      </c>
      <c r="Q5" s="1">
        <v>211.95549011230469</v>
      </c>
      <c r="R5" s="1">
        <v>187.61843872070312</v>
      </c>
      <c r="T5" s="3">
        <v>4</v>
      </c>
      <c r="U5">
        <f t="shared" ref="U5" si="8">AVERAGEA(A4:C4)</f>
        <v>70.420880635579422</v>
      </c>
      <c r="V5" s="4">
        <f t="shared" ref="V5" si="9">AVERAGE(F4:H4)</f>
        <v>-172.19733683268228</v>
      </c>
      <c r="W5" s="4">
        <f t="shared" si="2"/>
        <v>32.909474054972328</v>
      </c>
      <c r="X5" s="4">
        <f t="shared" ref="X5" si="10">AVERAGE(P4:R4)</f>
        <v>-44.164792378743492</v>
      </c>
      <c r="Y5" s="4">
        <f t="shared" si="4"/>
        <v>42.227976481119789</v>
      </c>
      <c r="Z5" s="4">
        <f t="shared" ref="Z5" si="11">AVERAGE(K42:M42)</f>
        <v>-921.58133951822913</v>
      </c>
      <c r="AA5">
        <f t="shared" si="6"/>
        <v>-921.58133951822913</v>
      </c>
      <c r="AB5">
        <f t="shared" si="7"/>
        <v>-141.89472834269205</v>
      </c>
    </row>
    <row r="6" spans="1:28" x14ac:dyDescent="0.2">
      <c r="A6" s="1">
        <v>-557.40850830078125</v>
      </c>
      <c r="B6" s="1">
        <v>-15.591517448425293</v>
      </c>
      <c r="C6" s="1">
        <v>-138.40718078613281</v>
      </c>
      <c r="F6" s="1">
        <v>161.34529113769531</v>
      </c>
      <c r="G6" s="1">
        <v>420.54635620117188</v>
      </c>
      <c r="H6" s="1">
        <v>209.96530151367188</v>
      </c>
      <c r="K6" s="1">
        <v>1134.296142578125</v>
      </c>
      <c r="L6" s="1">
        <v>514.40625</v>
      </c>
      <c r="M6" s="1">
        <v>-72.171875</v>
      </c>
      <c r="P6" s="1">
        <v>390.41934204101562</v>
      </c>
      <c r="Q6" s="1">
        <v>552.38427734375</v>
      </c>
      <c r="R6" s="1">
        <v>-81.517860412597656</v>
      </c>
      <c r="T6" s="3">
        <v>5</v>
      </c>
      <c r="U6" s="4">
        <f t="shared" ref="U6" si="12">AVERAGE(A5:C5)</f>
        <v>-290.01888529459637</v>
      </c>
      <c r="V6">
        <f t="shared" ref="V6" si="13">AVERAGEA(F5:H5)</f>
        <v>104.88726298014323</v>
      </c>
      <c r="W6" s="4">
        <f t="shared" si="2"/>
        <v>279.4546178181966</v>
      </c>
      <c r="X6">
        <f t="shared" ref="X6" si="14">AVERAGEA(P5:R5)</f>
        <v>168.71001688639322</v>
      </c>
      <c r="Y6" s="4">
        <f t="shared" si="4"/>
        <v>-829.49759928385413</v>
      </c>
      <c r="Z6" s="4">
        <f t="shared" ref="Z6" si="15">AVERAGE(F43:H43)</f>
        <v>323.47082773844403</v>
      </c>
      <c r="AA6">
        <f t="shared" si="6"/>
        <v>-24.25860595703125</v>
      </c>
      <c r="AB6">
        <f t="shared" si="7"/>
        <v>-33.996813456217446</v>
      </c>
    </row>
    <row r="7" spans="1:28" x14ac:dyDescent="0.2">
      <c r="A7" s="1">
        <v>-370.58035278320312</v>
      </c>
      <c r="B7" s="1">
        <v>700.78656005859375</v>
      </c>
      <c r="C7" s="1">
        <v>-673.33892822265625</v>
      </c>
      <c r="F7" s="1">
        <v>143.783935546875</v>
      </c>
      <c r="G7" s="1">
        <v>362.26620483398438</v>
      </c>
      <c r="H7" s="1">
        <v>354.20901489257812</v>
      </c>
      <c r="K7" s="1">
        <v>816.660888671875</v>
      </c>
      <c r="L7" s="1">
        <v>-252.02287292480469</v>
      </c>
      <c r="M7" s="1">
        <v>175.77790832519531</v>
      </c>
      <c r="P7" s="1">
        <v>-53.678386688232422</v>
      </c>
      <c r="Q7" s="1">
        <v>170.24661254882812</v>
      </c>
      <c r="R7" s="1">
        <v>-118.02915954589844</v>
      </c>
      <c r="T7" s="3">
        <v>6</v>
      </c>
      <c r="U7">
        <f t="shared" ref="U7" si="16">AVERAGEA(A6:C6)</f>
        <v>-237.13573551177979</v>
      </c>
      <c r="V7" s="4">
        <f t="shared" ref="V7" si="17">AVERAGE(F6:H6)</f>
        <v>263.95231628417969</v>
      </c>
      <c r="W7" s="4">
        <f t="shared" si="2"/>
        <v>525.51017252604163</v>
      </c>
      <c r="X7" s="4">
        <f t="shared" ref="X7" si="18">AVERAGE(P6:R6)</f>
        <v>287.09525299072266</v>
      </c>
      <c r="Y7" s="4">
        <f t="shared" si="4"/>
        <v>-512.61124674479163</v>
      </c>
      <c r="Z7" s="4">
        <f t="shared" ref="Z7" si="19">AVERAGE(K44:M44)</f>
        <v>659.06411743164062</v>
      </c>
      <c r="AA7">
        <f t="shared" si="6"/>
        <v>659.06411743164062</v>
      </c>
      <c r="AB7">
        <f t="shared" si="7"/>
        <v>54.023499170939125</v>
      </c>
    </row>
    <row r="8" spans="1:28" x14ac:dyDescent="0.2">
      <c r="A8" s="1">
        <v>335.04464721679688</v>
      </c>
      <c r="B8" s="1">
        <v>130.97712707519531</v>
      </c>
      <c r="C8" s="1">
        <v>-236.40345764160156</v>
      </c>
      <c r="F8" s="1">
        <v>14.753816604614258</v>
      </c>
      <c r="G8" s="1">
        <v>246.99388122558594</v>
      </c>
      <c r="H8" s="1">
        <v>288.33554077148438</v>
      </c>
      <c r="K8" s="1">
        <v>-163.00558471679688</v>
      </c>
      <c r="L8" s="1">
        <v>-36.311382293701172</v>
      </c>
      <c r="M8" s="1">
        <v>257.69644165039062</v>
      </c>
      <c r="P8" s="1">
        <v>-452.33859252929688</v>
      </c>
      <c r="Q8" s="1">
        <v>-275.87542724609375</v>
      </c>
      <c r="R8" s="1">
        <v>-51.251396179199219</v>
      </c>
      <c r="T8" s="3">
        <v>7</v>
      </c>
      <c r="U8" s="4">
        <f t="shared" ref="U8" si="20">AVERAGE(A7:C7)</f>
        <v>-114.37757364908855</v>
      </c>
      <c r="V8">
        <f t="shared" ref="V8" si="21">AVERAGEA(F7:H7)</f>
        <v>286.7530517578125</v>
      </c>
      <c r="W8" s="4">
        <f t="shared" si="2"/>
        <v>246.80530802408853</v>
      </c>
      <c r="X8">
        <f t="shared" ref="X8" si="22">AVERAGEA(P7:R7)</f>
        <v>-0.48697789510091144</v>
      </c>
      <c r="Y8" s="4">
        <f t="shared" si="4"/>
        <v>-241.21970621744791</v>
      </c>
      <c r="Z8" s="4">
        <f t="shared" ref="Z8" si="23">AVERAGE(F45:H45)</f>
        <v>-275.87278747558594</v>
      </c>
      <c r="AA8">
        <f t="shared" si="6"/>
        <v>980.29311116536462</v>
      </c>
      <c r="AB8">
        <f t="shared" si="7"/>
        <v>40.383657455444336</v>
      </c>
    </row>
    <row r="9" spans="1:28" x14ac:dyDescent="0.2">
      <c r="A9" s="1">
        <v>391.96652221679688</v>
      </c>
      <c r="B9" s="1">
        <v>-340.10574340820312</v>
      </c>
      <c r="C9" s="1">
        <v>288.250732421875</v>
      </c>
      <c r="F9" s="1">
        <v>-94.952079772949219</v>
      </c>
      <c r="G9" s="1">
        <v>183.95201110839844</v>
      </c>
      <c r="H9" s="1">
        <v>161.49331665039062</v>
      </c>
      <c r="K9" s="1">
        <v>-240.39080810546875</v>
      </c>
      <c r="L9" s="1">
        <v>-214.03738403320312</v>
      </c>
      <c r="M9" s="1">
        <v>-315.80691528320312</v>
      </c>
      <c r="P9" s="1">
        <v>286.98162841796875</v>
      </c>
      <c r="Q9" s="1">
        <v>-236.1497802734375</v>
      </c>
      <c r="R9" s="1">
        <v>48.1904296875</v>
      </c>
      <c r="T9" s="3">
        <v>8</v>
      </c>
      <c r="U9">
        <f t="shared" ref="U9" si="24">AVERAGEA(A8:C8)</f>
        <v>76.539438883463546</v>
      </c>
      <c r="V9" s="4">
        <f t="shared" ref="V9" si="25">AVERAGE(F8:H8)</f>
        <v>183.36107953389487</v>
      </c>
      <c r="W9" s="4">
        <f t="shared" si="2"/>
        <v>19.459824879964192</v>
      </c>
      <c r="X9" s="4">
        <f t="shared" ref="X9" si="26">AVERAGE(P8:R8)</f>
        <v>-259.8218053181966</v>
      </c>
      <c r="Y9" s="4">
        <f t="shared" si="4"/>
        <v>312.73439534505206</v>
      </c>
      <c r="Z9" s="4">
        <f t="shared" ref="Z9" si="27">AVERAGE(K46:M46)</f>
        <v>895.12105305989587</v>
      </c>
      <c r="AA9">
        <f t="shared" si="6"/>
        <v>895.12105305989587</v>
      </c>
      <c r="AB9">
        <f t="shared" si="7"/>
        <v>78.622731526692704</v>
      </c>
    </row>
    <row r="10" spans="1:28" x14ac:dyDescent="0.2">
      <c r="A10" s="1">
        <v>1145.958740234375</v>
      </c>
      <c r="B10" s="1">
        <v>31.694196701049805</v>
      </c>
      <c r="C10" s="1">
        <v>263.83462524414062</v>
      </c>
      <c r="F10" s="1">
        <v>246.16233825683594</v>
      </c>
      <c r="G10" s="1">
        <v>346.7890625</v>
      </c>
      <c r="H10" s="1">
        <v>48.604213714599609</v>
      </c>
      <c r="K10" s="1">
        <v>-733.88543701171875</v>
      </c>
      <c r="L10" s="1">
        <v>-143.12277221679688</v>
      </c>
      <c r="M10" s="1">
        <v>-110.66963958740234</v>
      </c>
      <c r="P10" s="1">
        <v>299.1260986328125</v>
      </c>
      <c r="Q10" s="1">
        <v>21.021158218383789</v>
      </c>
      <c r="R10" s="1">
        <v>509.92523193359375</v>
      </c>
      <c r="T10" s="3">
        <v>9</v>
      </c>
      <c r="U10" s="4">
        <f t="shared" ref="U10" si="28">AVERAGE(A9:C9)</f>
        <v>113.37050374348958</v>
      </c>
      <c r="V10">
        <f t="shared" ref="V10" si="29">AVERAGEA(F9:H9)</f>
        <v>83.497749328613281</v>
      </c>
      <c r="W10" s="4">
        <f t="shared" si="2"/>
        <v>-256.74503580729169</v>
      </c>
      <c r="X10">
        <f t="shared" ref="X10" si="30">AVERAGEA(P9:R9)</f>
        <v>33.007425944010414</v>
      </c>
      <c r="Y10" s="4">
        <f t="shared" si="4"/>
        <v>295.2509765625</v>
      </c>
      <c r="Z10" s="4">
        <f t="shared" ref="Z10" si="31">AVERAGE(F47:H47)</f>
        <v>93.437232971191406</v>
      </c>
      <c r="AA10">
        <f t="shared" si="6"/>
        <v>1021.448964436849</v>
      </c>
      <c r="AB10">
        <f t="shared" si="7"/>
        <v>-117.87778663635254</v>
      </c>
    </row>
    <row r="11" spans="1:28" x14ac:dyDescent="0.2">
      <c r="A11" s="1">
        <v>1728.716552734375</v>
      </c>
      <c r="B11" s="1">
        <v>830.486328125</v>
      </c>
      <c r="C11" s="1">
        <v>745.60601806640625</v>
      </c>
      <c r="F11" s="1">
        <v>-37.363868713378906</v>
      </c>
      <c r="G11" s="1">
        <v>103.27063751220703</v>
      </c>
      <c r="H11" s="1">
        <v>-33.413791656494141</v>
      </c>
      <c r="K11" s="1">
        <v>-313.03628540039062</v>
      </c>
      <c r="L11" s="1">
        <v>367.55746459960938</v>
      </c>
      <c r="M11" s="1">
        <v>1325.3582763671875</v>
      </c>
      <c r="P11" s="1">
        <v>-299.45208740234375</v>
      </c>
      <c r="Q11" s="1">
        <v>326.21163940429688</v>
      </c>
      <c r="R11" s="1">
        <v>1067.9608154296875</v>
      </c>
      <c r="T11" s="3">
        <v>10</v>
      </c>
      <c r="U11">
        <f t="shared" ref="U11" si="32">AVERAGEA(A10:C10)</f>
        <v>480.49585405985516</v>
      </c>
      <c r="V11" s="4">
        <f t="shared" ref="V11" si="33">AVERAGE(F10:H10)</f>
        <v>213.85187149047852</v>
      </c>
      <c r="W11" s="4">
        <f t="shared" si="2"/>
        <v>-329.22594960530597</v>
      </c>
      <c r="X11" s="4">
        <f t="shared" ref="X11" si="34">AVERAGE(P10:R10)</f>
        <v>276.69082959492999</v>
      </c>
      <c r="Y11" s="4">
        <f t="shared" si="4"/>
        <v>421.88216145833331</v>
      </c>
      <c r="Z11" s="4">
        <f t="shared" ref="Z11" si="35">AVERAGE(K48:M48)</f>
        <v>542.89670817057288</v>
      </c>
      <c r="AA11">
        <f t="shared" si="6"/>
        <v>542.89670817057288</v>
      </c>
      <c r="AB11">
        <f t="shared" si="7"/>
        <v>-179.91215387980142</v>
      </c>
    </row>
    <row r="12" spans="1:28" x14ac:dyDescent="0.2">
      <c r="A12" s="1">
        <v>3355.411865234375</v>
      </c>
      <c r="B12" s="1">
        <v>2172.419189453125</v>
      </c>
      <c r="C12" s="1">
        <v>1725.77587890625</v>
      </c>
      <c r="F12" s="1">
        <v>-201.02679443359375</v>
      </c>
      <c r="G12" s="1">
        <v>-56.447010040283203</v>
      </c>
      <c r="H12" s="1">
        <v>-91.584136962890625</v>
      </c>
      <c r="K12" s="1">
        <v>2862.85986328125</v>
      </c>
      <c r="L12" s="1">
        <v>1804.7845458984375</v>
      </c>
      <c r="M12" s="1">
        <v>2875.41748046875</v>
      </c>
      <c r="P12" s="1">
        <v>228.8525390625</v>
      </c>
      <c r="Q12" s="1">
        <v>667.273193359375</v>
      </c>
      <c r="R12" s="1">
        <v>1314.347900390625</v>
      </c>
      <c r="T12" s="3">
        <v>11</v>
      </c>
      <c r="U12" s="4">
        <f t="shared" ref="U12" si="36">AVERAGE(A11:C11)</f>
        <v>1101.6029663085938</v>
      </c>
      <c r="V12">
        <f t="shared" ref="V12" si="37">AVERAGEA(F11:H11)</f>
        <v>10.830992380777994</v>
      </c>
      <c r="W12" s="4">
        <f t="shared" si="2"/>
        <v>459.95981852213544</v>
      </c>
      <c r="X12">
        <f t="shared" ref="X12" si="38">AVERAGEA(P11:R11)</f>
        <v>364.90678914388019</v>
      </c>
      <c r="Y12" s="4">
        <f t="shared" si="4"/>
        <v>447.23988850911456</v>
      </c>
      <c r="Z12" s="4">
        <f t="shared" ref="Z12" si="39">AVERAGE(F49:H49)</f>
        <v>50.566261291503906</v>
      </c>
      <c r="AA12">
        <f t="shared" si="6"/>
        <v>566.66216023763025</v>
      </c>
      <c r="AB12">
        <f t="shared" si="7"/>
        <v>1.7722193400065105</v>
      </c>
    </row>
    <row r="13" spans="1:28" x14ac:dyDescent="0.2">
      <c r="A13" s="1">
        <v>6733.27880859375</v>
      </c>
      <c r="B13" s="1">
        <v>3743.679931640625</v>
      </c>
      <c r="C13" s="1">
        <v>4223.28955078125</v>
      </c>
      <c r="F13" s="1">
        <v>291.77902221679688</v>
      </c>
      <c r="G13" s="1">
        <v>-34.547466278076172</v>
      </c>
      <c r="H13" s="1">
        <v>-232.25057983398438</v>
      </c>
      <c r="K13" s="1">
        <v>10090.865234375</v>
      </c>
      <c r="L13" s="1">
        <v>5895.79296875</v>
      </c>
      <c r="M13" s="1">
        <v>7537.9296875</v>
      </c>
      <c r="P13" s="1">
        <v>1650.1727294921875</v>
      </c>
      <c r="Q13" s="1">
        <v>2276.826904296875</v>
      </c>
      <c r="R13" s="1">
        <v>2757.047607421875</v>
      </c>
      <c r="T13" s="3">
        <v>12</v>
      </c>
      <c r="U13">
        <f t="shared" ref="U13" si="40">AVERAGEA(A12:C12)</f>
        <v>2417.8689778645835</v>
      </c>
      <c r="V13" s="4">
        <f t="shared" ref="V13" si="41">AVERAGE(F12:H12)</f>
        <v>-116.35264714558919</v>
      </c>
      <c r="W13" s="4">
        <f t="shared" si="2"/>
        <v>2514.353963216146</v>
      </c>
      <c r="X13" s="4">
        <f t="shared" ref="X13" si="42">AVERAGE(P12:R12)</f>
        <v>736.82454427083337</v>
      </c>
      <c r="Y13" s="4">
        <f t="shared" si="4"/>
        <v>713.66792297363281</v>
      </c>
      <c r="Z13" s="4">
        <f t="shared" ref="Z13" si="43">AVERAGE(K50:M50)</f>
        <v>510.65673828125</v>
      </c>
      <c r="AA13">
        <f t="shared" si="6"/>
        <v>510.65673828125</v>
      </c>
      <c r="AB13">
        <f t="shared" si="7"/>
        <v>227.07378896077475</v>
      </c>
    </row>
    <row r="14" spans="1:28" x14ac:dyDescent="0.2">
      <c r="A14" s="1">
        <v>11879.498046875</v>
      </c>
      <c r="B14" s="1">
        <v>8735.4560546875</v>
      </c>
      <c r="C14" s="1">
        <v>8935.185546875</v>
      </c>
      <c r="F14" s="1">
        <v>299.0692138671875</v>
      </c>
      <c r="G14" s="1">
        <v>15.895047187805176</v>
      </c>
      <c r="H14" s="1">
        <v>-357.77249145507812</v>
      </c>
      <c r="K14" s="1">
        <v>24505.46484375</v>
      </c>
      <c r="L14" s="1">
        <v>14824.0205078125</v>
      </c>
      <c r="M14" s="1">
        <v>14281.4892578125</v>
      </c>
      <c r="P14" s="1">
        <v>5275.3603515625</v>
      </c>
      <c r="Q14" s="1">
        <v>4934.919921875</v>
      </c>
      <c r="R14" s="1">
        <v>6774.3447265625</v>
      </c>
      <c r="T14" s="3">
        <v>13</v>
      </c>
      <c r="U14" s="4">
        <f t="shared" ref="U14" si="44">AVERAGE(A13:C13)</f>
        <v>4900.082763671875</v>
      </c>
      <c r="V14">
        <f t="shared" ref="V14" si="45">AVERAGEA(F13:H13)</f>
        <v>8.3269920349121094</v>
      </c>
      <c r="W14" s="4">
        <f t="shared" si="2"/>
        <v>7841.529296875</v>
      </c>
      <c r="X14">
        <f t="shared" ref="X14" si="46">AVERAGEA(P13:R13)</f>
        <v>2228.0157470703125</v>
      </c>
      <c r="Y14" s="4">
        <f t="shared" si="4"/>
        <v>391.41625785827637</v>
      </c>
      <c r="Z14" s="4">
        <f t="shared" ref="Z14" si="47">AVERAGE(F51:H51)</f>
        <v>-187.94793192545572</v>
      </c>
      <c r="AA14">
        <f t="shared" si="6"/>
        <v>-91.40594482421875</v>
      </c>
      <c r="AB14">
        <f t="shared" si="7"/>
        <v>183.26988983154297</v>
      </c>
    </row>
    <row r="15" spans="1:28" x14ac:dyDescent="0.2">
      <c r="A15" s="1">
        <v>21771.833984375</v>
      </c>
      <c r="B15" s="1">
        <v>18548.841796875</v>
      </c>
      <c r="C15" s="1">
        <v>18239.71484375</v>
      </c>
      <c r="F15" s="1">
        <v>299.39459228515625</v>
      </c>
      <c r="G15" s="1">
        <v>8.4703712463378906</v>
      </c>
      <c r="H15" s="1">
        <v>-390.18502807617188</v>
      </c>
      <c r="K15" s="1">
        <v>47377</v>
      </c>
      <c r="L15" s="1">
        <v>25877.841796875</v>
      </c>
      <c r="M15" s="1">
        <v>21714.205078125</v>
      </c>
      <c r="P15" s="1">
        <v>11105.5908203125</v>
      </c>
      <c r="Q15" s="1">
        <v>11503.4423828125</v>
      </c>
      <c r="R15" s="1">
        <v>13210.025390625</v>
      </c>
      <c r="T15" s="3">
        <v>14</v>
      </c>
      <c r="U15">
        <f t="shared" ref="U15" si="48">AVERAGEA(A14:C14)</f>
        <v>9850.0465494791661</v>
      </c>
      <c r="V15" s="4">
        <f t="shared" ref="V15" si="49">AVERAGE(F14:H14)</f>
        <v>-14.269410133361816</v>
      </c>
      <c r="W15" s="4">
        <f t="shared" si="2"/>
        <v>17870.324869791668</v>
      </c>
      <c r="X15" s="4">
        <f t="shared" ref="X15" si="50">AVERAGE(P14:R14)</f>
        <v>5661.541666666667</v>
      </c>
      <c r="Y15" s="4">
        <f t="shared" si="4"/>
        <v>42.409403483072914</v>
      </c>
      <c r="Z15" s="4">
        <f t="shared" ref="Z15" si="51">AVERAGE(K52:M52)</f>
        <v>-1109.4998982747395</v>
      </c>
      <c r="AA15">
        <f t="shared" si="6"/>
        <v>-1109.4998982747395</v>
      </c>
      <c r="AB15">
        <f t="shared" si="7"/>
        <v>-45.95068359375</v>
      </c>
    </row>
    <row r="16" spans="1:28" x14ac:dyDescent="0.2">
      <c r="A16" s="1">
        <v>39271.87109375</v>
      </c>
      <c r="B16" s="1">
        <v>39496.34375</v>
      </c>
      <c r="C16" s="1">
        <v>36484.23046875</v>
      </c>
      <c r="F16" s="1">
        <v>458.98947143554688</v>
      </c>
      <c r="G16" s="1">
        <v>250.78007507324219</v>
      </c>
      <c r="H16" s="1">
        <v>-380.76162719726562</v>
      </c>
      <c r="K16" s="1">
        <v>74907.5234375</v>
      </c>
      <c r="L16" s="1">
        <v>40555.58203125</v>
      </c>
      <c r="M16" s="1">
        <v>33096.27734375</v>
      </c>
      <c r="P16" s="1">
        <v>23459.46875</v>
      </c>
      <c r="Q16" s="1">
        <v>23334.94921875</v>
      </c>
      <c r="R16" s="1">
        <v>24721.583984375</v>
      </c>
      <c r="T16" s="3">
        <v>15</v>
      </c>
      <c r="U16" s="4">
        <f t="shared" ref="U16" si="52">AVERAGE(A15:C15)</f>
        <v>19520.130208333332</v>
      </c>
      <c r="V16">
        <f t="shared" ref="V16" si="53">AVERAGEA(F15:H15)</f>
        <v>-27.440021514892578</v>
      </c>
      <c r="W16" s="4">
        <f t="shared" si="2"/>
        <v>31656.348958333332</v>
      </c>
      <c r="X16">
        <f t="shared" ref="X16" si="54">AVERAGEA(P15:R15)</f>
        <v>11939.686197916666</v>
      </c>
      <c r="Y16" s="4">
        <f t="shared" si="4"/>
        <v>-203.13911946614584</v>
      </c>
      <c r="Z16" s="4">
        <f t="shared" ref="Z16" si="55">AVERAGE(F53:H53)</f>
        <v>-450.18609619140625</v>
      </c>
      <c r="AA16">
        <f t="shared" si="6"/>
        <v>-1406.4688313802083</v>
      </c>
      <c r="AB16">
        <f t="shared" si="7"/>
        <v>-10.278025309244791</v>
      </c>
    </row>
    <row r="17" spans="1:28" x14ac:dyDescent="0.2">
      <c r="A17" s="1">
        <v>72105.2890625</v>
      </c>
      <c r="B17" s="1">
        <v>71199.6484375</v>
      </c>
      <c r="C17" s="1">
        <v>69400.34375</v>
      </c>
      <c r="F17" s="1">
        <v>360.5687255859375</v>
      </c>
      <c r="G17" s="1">
        <v>297.80853271484375</v>
      </c>
      <c r="H17" s="1">
        <v>-874.4945068359375</v>
      </c>
      <c r="K17" s="1">
        <v>108602.328125</v>
      </c>
      <c r="L17" s="1">
        <v>59720.421875</v>
      </c>
      <c r="M17" s="1">
        <v>48203.87109375</v>
      </c>
      <c r="P17" s="1">
        <v>46320.30078125</v>
      </c>
      <c r="Q17" s="1">
        <v>46217.91015625</v>
      </c>
      <c r="R17" s="1">
        <v>46041.6171875</v>
      </c>
      <c r="T17" s="3">
        <v>16</v>
      </c>
      <c r="U17">
        <f t="shared" ref="U17" si="56">AVERAGEA(A16:C16)</f>
        <v>38417.481770833336</v>
      </c>
      <c r="V17" s="4">
        <f t="shared" ref="V17" si="57">AVERAGE(F16:H16)</f>
        <v>109.66930643717448</v>
      </c>
      <c r="W17" s="4">
        <f t="shared" si="2"/>
        <v>49519.794270833336</v>
      </c>
      <c r="X17" s="4">
        <f t="shared" ref="X17" si="58">AVERAGE(P16:R16)</f>
        <v>23838.667317708332</v>
      </c>
      <c r="Y17" s="4">
        <f t="shared" si="4"/>
        <v>257.33578999837238</v>
      </c>
      <c r="Z17" s="4">
        <f t="shared" ref="Z17" si="59">AVERAGE(K54:M54)</f>
        <v>-432.33878580729169</v>
      </c>
      <c r="AA17">
        <f t="shared" si="6"/>
        <v>-432.33878580729169</v>
      </c>
      <c r="AB17">
        <f t="shared" si="7"/>
        <v>111.11468760172527</v>
      </c>
    </row>
    <row r="18" spans="1:28" x14ac:dyDescent="0.2">
      <c r="A18" s="1">
        <v>110898.171875</v>
      </c>
      <c r="B18" s="1">
        <v>115249.328125</v>
      </c>
      <c r="C18" s="1">
        <v>117073.109375</v>
      </c>
      <c r="F18" s="1">
        <v>328.77688598632812</v>
      </c>
      <c r="G18" s="1">
        <v>239.37994384765625</v>
      </c>
      <c r="H18" s="1">
        <v>-866.25469970703125</v>
      </c>
      <c r="K18" s="1">
        <v>146403.375</v>
      </c>
      <c r="L18" s="1">
        <v>82531.4296875</v>
      </c>
      <c r="M18" s="1">
        <v>63601.5078125</v>
      </c>
      <c r="P18" s="1">
        <v>84764.734375</v>
      </c>
      <c r="Q18" s="1">
        <v>83226.9296875</v>
      </c>
      <c r="R18" s="1">
        <v>81412.0078125</v>
      </c>
      <c r="T18" s="3">
        <v>17</v>
      </c>
      <c r="U18" s="4">
        <f t="shared" ref="U18" si="60">AVERAGE(A17:C17)</f>
        <v>70901.760416666672</v>
      </c>
      <c r="V18">
        <f t="shared" ref="V18" si="61">AVERAGEA(F17:H17)</f>
        <v>-72.039082845052079</v>
      </c>
      <c r="W18" s="4">
        <f t="shared" si="2"/>
        <v>72175.540364583328</v>
      </c>
      <c r="X18">
        <f t="shared" ref="X18" si="62">AVERAGEA(P17:R17)</f>
        <v>46193.276041666664</v>
      </c>
      <c r="Y18" s="4">
        <f t="shared" si="4"/>
        <v>436.29505411783856</v>
      </c>
      <c r="Z18" s="4">
        <f t="shared" ref="Z18" si="63">AVERAGE(F55:H55)</f>
        <v>-43.628669738769531</v>
      </c>
      <c r="AA18">
        <f t="shared" si="6"/>
        <v>1684.103759765625</v>
      </c>
      <c r="AB18">
        <f t="shared" si="7"/>
        <v>246.81730143229166</v>
      </c>
    </row>
    <row r="19" spans="1:28" x14ac:dyDescent="0.2">
      <c r="A19" s="1">
        <v>152813.28125</v>
      </c>
      <c r="B19" s="1">
        <v>167231.125</v>
      </c>
      <c r="C19" s="1">
        <v>176040.859375</v>
      </c>
      <c r="F19" s="1">
        <v>55.496784210205078</v>
      </c>
      <c r="G19" s="1">
        <v>-51.337703704833984</v>
      </c>
      <c r="H19" s="1">
        <v>-276.13595581054688</v>
      </c>
      <c r="K19" s="1">
        <v>182526.859375</v>
      </c>
      <c r="L19" s="1">
        <v>108046.65625</v>
      </c>
      <c r="M19" s="1">
        <v>81125.203125</v>
      </c>
      <c r="P19" s="1">
        <v>145301.546875</v>
      </c>
      <c r="Q19" s="1">
        <v>138317.734375</v>
      </c>
      <c r="R19" s="1">
        <v>133977.875</v>
      </c>
      <c r="T19" s="3">
        <v>18</v>
      </c>
      <c r="U19">
        <f t="shared" ref="U19" si="64">AVERAGEA(A18:C18)</f>
        <v>114406.86979166667</v>
      </c>
      <c r="V19" s="4">
        <f t="shared" ref="V19" si="65">AVERAGE(F18:H18)</f>
        <v>-99.365956624348954</v>
      </c>
      <c r="W19" s="4">
        <f t="shared" si="2"/>
        <v>97512.104166666672</v>
      </c>
      <c r="X19" s="4">
        <f t="shared" ref="X19" si="66">AVERAGE(P18:R18)</f>
        <v>83134.557291666672</v>
      </c>
      <c r="Y19" s="4">
        <f t="shared" si="4"/>
        <v>515.53298950195312</v>
      </c>
      <c r="Z19" s="4">
        <f t="shared" ref="Z19" si="67">AVERAGE(K56:M56)</f>
        <v>2447.0359751383462</v>
      </c>
      <c r="AA19">
        <f t="shared" si="6"/>
        <v>2447.0359751383462</v>
      </c>
      <c r="AB19">
        <f t="shared" si="7"/>
        <v>586.0081787109375</v>
      </c>
    </row>
    <row r="20" spans="1:28" x14ac:dyDescent="0.2">
      <c r="A20" s="1">
        <v>197475.984375</v>
      </c>
      <c r="B20" s="1">
        <v>224566.203125</v>
      </c>
      <c r="C20" s="1">
        <v>240399.609375</v>
      </c>
      <c r="F20" s="1">
        <v>-233.3614501953125</v>
      </c>
      <c r="G20" s="1">
        <v>-251.64909362792969</v>
      </c>
      <c r="H20" s="1">
        <v>130.38119506835938</v>
      </c>
      <c r="K20" s="1">
        <v>216315.640625</v>
      </c>
      <c r="L20" s="1">
        <v>134798.34375</v>
      </c>
      <c r="M20" s="1">
        <v>100388.421875</v>
      </c>
      <c r="P20" s="1">
        <v>221048.921875</v>
      </c>
      <c r="Q20" s="1">
        <v>204838.59375</v>
      </c>
      <c r="R20" s="1">
        <v>197976.109375</v>
      </c>
      <c r="T20" s="3">
        <v>19</v>
      </c>
      <c r="U20" s="4">
        <f t="shared" ref="U20" si="68">AVERAGE(A19:C19)</f>
        <v>165361.75520833334</v>
      </c>
      <c r="V20">
        <f t="shared" ref="V20" si="69">AVERAGEA(F19:H19)</f>
        <v>-90.658958435058594</v>
      </c>
      <c r="W20" s="4">
        <f t="shared" si="2"/>
        <v>123899.57291666667</v>
      </c>
      <c r="X20">
        <f t="shared" ref="X20" si="70">AVERAGEA(P19:R19)</f>
        <v>139199.05208333334</v>
      </c>
      <c r="Y20" s="4">
        <f t="shared" si="4"/>
        <v>468.53398640950519</v>
      </c>
      <c r="Z20" s="4">
        <f t="shared" ref="Z20" si="71">AVERAGE(F57:H57)</f>
        <v>-17.00615119934082</v>
      </c>
      <c r="AA20">
        <f t="shared" si="6"/>
        <v>4322.84814453125</v>
      </c>
      <c r="AB20">
        <f t="shared" si="7"/>
        <v>1373.60400390625</v>
      </c>
    </row>
    <row r="21" spans="1:28" x14ac:dyDescent="0.2">
      <c r="A21" s="1">
        <v>244063.328125</v>
      </c>
      <c r="B21" s="1">
        <v>279635.125</v>
      </c>
      <c r="C21" s="1">
        <v>305877.9375</v>
      </c>
      <c r="F21" s="1">
        <v>-334.86032104492188</v>
      </c>
      <c r="G21" s="1">
        <v>-513.05426025390625</v>
      </c>
      <c r="H21" s="1">
        <v>-19.781339645385742</v>
      </c>
      <c r="K21" s="1">
        <v>247510.15625</v>
      </c>
      <c r="L21" s="1">
        <v>160903.359375</v>
      </c>
      <c r="M21" s="1">
        <v>117942.890625</v>
      </c>
      <c r="P21" s="1">
        <v>299402.15625</v>
      </c>
      <c r="Q21" s="1">
        <v>269243.8125</v>
      </c>
      <c r="R21" s="1">
        <v>260499.359375</v>
      </c>
      <c r="T21" s="3">
        <v>20</v>
      </c>
      <c r="U21">
        <f t="shared" ref="U21" si="72">AVERAGEA(A20:C20)</f>
        <v>220813.93229166666</v>
      </c>
      <c r="V21" s="4">
        <f t="shared" ref="V21" si="73">AVERAGE(F20:H20)</f>
        <v>-118.20978291829427</v>
      </c>
      <c r="W21" s="4">
        <f t="shared" si="2"/>
        <v>150500.80208333334</v>
      </c>
      <c r="X21" s="4">
        <f t="shared" ref="X21" si="74">AVERAGE(P20:R20)</f>
        <v>207954.54166666666</v>
      </c>
      <c r="Y21" s="4">
        <f t="shared" si="4"/>
        <v>1804.8395385742188</v>
      </c>
      <c r="Z21" s="4">
        <f t="shared" ref="Z21" si="75">AVERAGE(K58:M58)</f>
        <v>9159.8115234375</v>
      </c>
      <c r="AA21">
        <f t="shared" si="6"/>
        <v>9159.8115234375</v>
      </c>
      <c r="AB21">
        <f t="shared" si="7"/>
        <v>3034.077392578125</v>
      </c>
    </row>
    <row r="22" spans="1:28" x14ac:dyDescent="0.2">
      <c r="A22" s="1">
        <v>285845.8125</v>
      </c>
      <c r="B22" s="1">
        <v>332236.96875</v>
      </c>
      <c r="C22" s="1">
        <v>367723.71875</v>
      </c>
      <c r="F22" s="1">
        <v>274.09393310546875</v>
      </c>
      <c r="G22" s="1">
        <v>-590.48284912109375</v>
      </c>
      <c r="H22" s="1">
        <v>-459.13137817382812</v>
      </c>
      <c r="K22" s="1">
        <v>275217.1875</v>
      </c>
      <c r="L22" s="1">
        <v>186135.75</v>
      </c>
      <c r="M22" s="1">
        <v>134512.921875</v>
      </c>
      <c r="P22" s="1">
        <v>371354.09375</v>
      </c>
      <c r="Q22" s="1">
        <v>326886.03125</v>
      </c>
      <c r="R22" s="1">
        <v>316412.0625</v>
      </c>
      <c r="T22" s="3">
        <v>21</v>
      </c>
      <c r="U22" s="4">
        <f t="shared" ref="U22" si="76">AVERAGE(A21:C21)</f>
        <v>276525.46354166669</v>
      </c>
      <c r="V22">
        <f t="shared" ref="V22" si="77">AVERAGEA(F21:H21)</f>
        <v>-289.23197364807129</v>
      </c>
      <c r="W22" s="4">
        <f t="shared" si="2"/>
        <v>175452.13541666666</v>
      </c>
      <c r="X22">
        <f t="shared" ref="X22" si="78">AVERAGEA(P21:R21)</f>
        <v>276381.77604166669</v>
      </c>
      <c r="Y22" s="4">
        <f t="shared" si="4"/>
        <v>4253.634928385417</v>
      </c>
      <c r="Z22" s="4">
        <f t="shared" ref="Z22" si="79">AVERAGE(F59:H59)</f>
        <v>-42.064620971679688</v>
      </c>
      <c r="AA22">
        <f t="shared" si="6"/>
        <v>18912.373697916668</v>
      </c>
      <c r="AB22">
        <f t="shared" si="7"/>
        <v>5260.487141927083</v>
      </c>
    </row>
    <row r="23" spans="1:28" x14ac:dyDescent="0.2">
      <c r="A23" s="1">
        <v>325036</v>
      </c>
      <c r="B23" s="1">
        <v>380848.46875</v>
      </c>
      <c r="C23" s="1">
        <v>424093.625</v>
      </c>
      <c r="F23" s="1">
        <v>298.2435302734375</v>
      </c>
      <c r="G23" s="1">
        <v>-466.61453247070312</v>
      </c>
      <c r="H23" s="1">
        <v>-483.26266479492188</v>
      </c>
      <c r="K23" s="1">
        <v>301019.65625</v>
      </c>
      <c r="L23" s="1">
        <v>210763.5625</v>
      </c>
      <c r="M23" s="1">
        <v>151095.46875</v>
      </c>
      <c r="P23" s="1">
        <v>433181.5625</v>
      </c>
      <c r="Q23" s="1">
        <v>376722.75</v>
      </c>
      <c r="R23" s="1">
        <v>364464.40625</v>
      </c>
      <c r="T23" s="3">
        <v>22</v>
      </c>
      <c r="U23">
        <f t="shared" ref="U23" si="80">AVERAGEA(A22:C22)</f>
        <v>328602.16666666669</v>
      </c>
      <c r="V23" s="4">
        <f t="shared" ref="V23" si="81">AVERAGE(F22:H22)</f>
        <v>-258.50676472981769</v>
      </c>
      <c r="W23" s="4">
        <f t="shared" si="2"/>
        <v>198621.953125</v>
      </c>
      <c r="X23" s="4">
        <f t="shared" ref="X23" si="82">AVERAGE(P22:R22)</f>
        <v>338217.39583333331</v>
      </c>
      <c r="Y23" s="4">
        <f t="shared" si="4"/>
        <v>6800.109700520833</v>
      </c>
      <c r="Z23" s="4">
        <f t="shared" ref="Z23" si="83">AVERAGE(K60:M60)</f>
        <v>33553.233072916664</v>
      </c>
      <c r="AA23">
        <f t="shared" si="6"/>
        <v>33553.233072916664</v>
      </c>
      <c r="AB23">
        <f t="shared" si="7"/>
        <v>9654.9827473958339</v>
      </c>
    </row>
    <row r="24" spans="1:28" x14ac:dyDescent="0.2">
      <c r="A24" s="1">
        <v>356797.9375</v>
      </c>
      <c r="B24" s="1">
        <v>423546.75</v>
      </c>
      <c r="C24" s="1">
        <v>474924.09375</v>
      </c>
      <c r="F24" s="1">
        <v>543.84619140625</v>
      </c>
      <c r="G24" s="1">
        <v>-480.07046508789062</v>
      </c>
      <c r="H24" s="1">
        <v>-119.14395141601562</v>
      </c>
      <c r="K24" s="1">
        <v>323841.40625</v>
      </c>
      <c r="L24" s="1">
        <v>232799.921875</v>
      </c>
      <c r="M24" s="1">
        <v>166915.15625</v>
      </c>
      <c r="P24" s="1">
        <v>485314.90625</v>
      </c>
      <c r="Q24" s="1">
        <v>417537.4375</v>
      </c>
      <c r="R24" s="1">
        <v>404995.40625</v>
      </c>
      <c r="T24" s="3">
        <v>23</v>
      </c>
      <c r="U24" s="4">
        <f t="shared" ref="U24" si="84">AVERAGE(A23:C23)</f>
        <v>376659.36458333331</v>
      </c>
      <c r="V24">
        <f t="shared" ref="V24" si="85">AVERAGEA(F23:H23)</f>
        <v>-217.21122233072916</v>
      </c>
      <c r="W24" s="4">
        <f t="shared" si="2"/>
        <v>220959.5625</v>
      </c>
      <c r="X24">
        <f t="shared" ref="X24" si="86">AVERAGEA(P23:R23)</f>
        <v>391456.23958333331</v>
      </c>
      <c r="Y24" s="4">
        <f t="shared" si="4"/>
        <v>12828.23828125</v>
      </c>
      <c r="Z24" s="4">
        <f t="shared" ref="Z24" si="87">AVERAGE(F61:H61)</f>
        <v>-238.57492065429688</v>
      </c>
      <c r="AA24">
        <f t="shared" si="6"/>
        <v>53976.53515625</v>
      </c>
      <c r="AB24">
        <f t="shared" si="7"/>
        <v>17968.975911458332</v>
      </c>
    </row>
    <row r="25" spans="1:28" x14ac:dyDescent="0.2">
      <c r="A25" s="1">
        <v>383891.125</v>
      </c>
      <c r="B25" s="1">
        <v>461977.125</v>
      </c>
      <c r="C25" s="1">
        <v>519864.96875</v>
      </c>
      <c r="F25" s="1">
        <v>143.08563232421875</v>
      </c>
      <c r="G25" s="1">
        <v>-481.9169921875</v>
      </c>
      <c r="H25" s="1">
        <v>-189.01351928710938</v>
      </c>
      <c r="K25" s="1">
        <v>344258.03125</v>
      </c>
      <c r="L25" s="1">
        <v>253713.984375</v>
      </c>
      <c r="M25" s="1">
        <v>180502.65625</v>
      </c>
      <c r="P25" s="1">
        <v>529243.125</v>
      </c>
      <c r="Q25" s="1">
        <v>451475.46875</v>
      </c>
      <c r="R25" s="1">
        <v>439382.28125</v>
      </c>
      <c r="T25" s="3">
        <v>24</v>
      </c>
      <c r="U25">
        <f t="shared" ref="U25" si="88">AVERAGEA(A24:C24)</f>
        <v>418422.92708333331</v>
      </c>
      <c r="V25" s="4">
        <f t="shared" ref="V25" si="89">AVERAGE(F24:H24)</f>
        <v>-18.456075032552082</v>
      </c>
      <c r="W25" s="4">
        <f t="shared" si="2"/>
        <v>241185.49479166666</v>
      </c>
      <c r="X25" s="4">
        <f t="shared" ref="X25" si="90">AVERAGE(P24:R24)</f>
        <v>435949.25</v>
      </c>
      <c r="Y25" s="4">
        <f t="shared" si="4"/>
        <v>24224.109375</v>
      </c>
      <c r="Z25" s="4">
        <f t="shared" ref="Z25" si="91">AVERAGE(K62:M62)</f>
        <v>78467.453125</v>
      </c>
      <c r="AA25">
        <f t="shared" si="6"/>
        <v>78467.453125</v>
      </c>
      <c r="AB25">
        <f t="shared" si="7"/>
        <v>33231.952473958336</v>
      </c>
    </row>
    <row r="26" spans="1:28" x14ac:dyDescent="0.2">
      <c r="A26" s="1">
        <v>409688.53125</v>
      </c>
      <c r="B26" s="1">
        <v>495649</v>
      </c>
      <c r="C26" s="1">
        <v>560056.0625</v>
      </c>
      <c r="F26" s="1">
        <v>-118.07338714599609</v>
      </c>
      <c r="G26" s="1">
        <v>-335.2283935546875</v>
      </c>
      <c r="H26" s="1">
        <v>-254.72683715820312</v>
      </c>
      <c r="K26" s="1">
        <v>361792</v>
      </c>
      <c r="L26" s="1">
        <v>274761.6875</v>
      </c>
      <c r="M26" s="1">
        <v>194289.90625</v>
      </c>
      <c r="P26" s="1">
        <v>565183.75</v>
      </c>
      <c r="Q26" s="1">
        <v>480119.21875</v>
      </c>
      <c r="R26" s="1">
        <v>467991.90625</v>
      </c>
      <c r="T26" s="3">
        <v>25</v>
      </c>
      <c r="U26" s="4">
        <f t="shared" ref="U26" si="92">AVERAGE(A25:C25)</f>
        <v>455244.40625</v>
      </c>
      <c r="V26">
        <f t="shared" ref="V26" si="93">AVERAGEA(F25:H25)</f>
        <v>-175.94829305013022</v>
      </c>
      <c r="W26" s="4">
        <f t="shared" si="2"/>
        <v>259491.55729166666</v>
      </c>
      <c r="X26">
        <f t="shared" ref="X26" si="94">AVERAGEA(P25:R25)</f>
        <v>473366.95833333331</v>
      </c>
      <c r="Y26" s="4">
        <f t="shared" si="4"/>
        <v>44437.12109375</v>
      </c>
      <c r="Z26" s="4">
        <f t="shared" ref="Z26" si="95">AVERAGE(F63:H63)</f>
        <v>-365.21150207519531</v>
      </c>
      <c r="AA26">
        <f t="shared" si="6"/>
        <v>107227.28385416667</v>
      </c>
      <c r="AB26">
        <f t="shared" si="7"/>
        <v>60724.302083333336</v>
      </c>
    </row>
    <row r="27" spans="1:28" x14ac:dyDescent="0.2">
      <c r="A27" s="1">
        <v>433729.09375</v>
      </c>
      <c r="B27" s="1">
        <v>525404.6875</v>
      </c>
      <c r="C27" s="1">
        <v>594843.3125</v>
      </c>
      <c r="F27" s="1">
        <v>199.99024963378906</v>
      </c>
      <c r="G27" s="1">
        <v>425.503173828125</v>
      </c>
      <c r="H27" s="1">
        <v>-128.75656127929688</v>
      </c>
      <c r="K27" s="1">
        <v>377531.5625</v>
      </c>
      <c r="L27" s="1">
        <v>293804.625</v>
      </c>
      <c r="M27" s="1">
        <v>206136.6875</v>
      </c>
      <c r="P27" s="1">
        <v>596109.6875</v>
      </c>
      <c r="Q27" s="1">
        <v>504388.0625</v>
      </c>
      <c r="R27" s="1">
        <v>491865.78125</v>
      </c>
      <c r="T27" s="3">
        <v>26</v>
      </c>
      <c r="U27">
        <f t="shared" ref="U27" si="96">AVERAGEA(A26:C26)</f>
        <v>488464.53125</v>
      </c>
      <c r="V27" s="4">
        <f t="shared" ref="V27" si="97">AVERAGE(F26:H26)</f>
        <v>-236.00953928629556</v>
      </c>
      <c r="W27" s="4">
        <f t="shared" si="2"/>
        <v>276947.86458333331</v>
      </c>
      <c r="X27" s="4">
        <f t="shared" ref="X27" si="98">AVERAGE(P26:R26)</f>
        <v>504431.625</v>
      </c>
      <c r="Y27" s="4">
        <f t="shared" si="4"/>
        <v>78526.966145833328</v>
      </c>
      <c r="Z27" s="4">
        <f t="shared" ref="Z27" si="99">AVERAGE(K64:M64)</f>
        <v>139955.63020833334</v>
      </c>
      <c r="AA27">
        <f t="shared" si="6"/>
        <v>139955.63020833334</v>
      </c>
      <c r="AB27">
        <f t="shared" si="7"/>
        <v>106296.55729166667</v>
      </c>
    </row>
    <row r="28" spans="1:28" x14ac:dyDescent="0.2">
      <c r="A28" s="1">
        <v>455257.28125</v>
      </c>
      <c r="B28" s="1">
        <v>551752.6875</v>
      </c>
      <c r="C28" s="1">
        <v>626734.4375</v>
      </c>
      <c r="F28" s="1">
        <v>36.796073913574219</v>
      </c>
      <c r="G28" s="1">
        <v>603.5394287109375</v>
      </c>
      <c r="H28" s="1">
        <v>233.60824584960938</v>
      </c>
      <c r="K28" s="1">
        <v>391770.5625</v>
      </c>
      <c r="L28" s="1">
        <v>310829.375</v>
      </c>
      <c r="M28" s="1">
        <v>216772.015625</v>
      </c>
      <c r="P28" s="1">
        <v>621035.5625</v>
      </c>
      <c r="Q28" s="1">
        <v>524591.0625</v>
      </c>
      <c r="R28" s="1">
        <v>511087</v>
      </c>
      <c r="T28" s="3">
        <v>27</v>
      </c>
      <c r="U28" s="4">
        <f t="shared" ref="U28" si="100">AVERAGE(A27:C27)</f>
        <v>517992.36458333331</v>
      </c>
      <c r="V28">
        <f t="shared" ref="V28" si="101">AVERAGEA(F27:H27)</f>
        <v>165.57895406087241</v>
      </c>
      <c r="W28" s="4">
        <f t="shared" si="2"/>
        <v>292490.95833333331</v>
      </c>
      <c r="X28">
        <f t="shared" ref="X28" si="102">AVERAGEA(P27:R27)</f>
        <v>530787.84375</v>
      </c>
      <c r="Y28" s="4">
        <f t="shared" si="4"/>
        <v>126496.0234375</v>
      </c>
      <c r="Z28" s="4">
        <f t="shared" ref="Z28" si="103">AVERAGE(F65:H65)</f>
        <v>33.114139238993324</v>
      </c>
      <c r="AA28">
        <f t="shared" si="6"/>
        <v>173533.953125</v>
      </c>
      <c r="AB28">
        <f t="shared" si="7"/>
        <v>172670.06770833334</v>
      </c>
    </row>
    <row r="29" spans="1:28" x14ac:dyDescent="0.2">
      <c r="A29" s="1">
        <v>473616</v>
      </c>
      <c r="B29" s="1">
        <v>575429.6875</v>
      </c>
      <c r="C29" s="1">
        <v>655306.9375</v>
      </c>
      <c r="F29" s="1">
        <v>-269.69888305664062</v>
      </c>
      <c r="G29" s="1">
        <v>516.86865234375</v>
      </c>
      <c r="H29" s="1">
        <v>449.66445922851562</v>
      </c>
      <c r="K29" s="1">
        <v>402472.59375</v>
      </c>
      <c r="L29" s="1">
        <v>326323.65625</v>
      </c>
      <c r="M29" s="1">
        <v>228323.015625</v>
      </c>
      <c r="P29" s="1">
        <v>642477.875</v>
      </c>
      <c r="Q29" s="1">
        <v>540892.625</v>
      </c>
      <c r="R29" s="1">
        <v>528265</v>
      </c>
      <c r="T29" s="3">
        <v>28</v>
      </c>
      <c r="U29">
        <f t="shared" ref="U29" si="104">AVERAGEA(A28:C28)</f>
        <v>544581.46875</v>
      </c>
      <c r="V29" s="4">
        <f t="shared" ref="V29" si="105">AVERAGE(F28:H28)</f>
        <v>291.31458282470703</v>
      </c>
      <c r="W29" s="4">
        <f t="shared" si="2"/>
        <v>306457.31770833331</v>
      </c>
      <c r="X29" s="4">
        <f t="shared" ref="X29" si="106">AVERAGE(P28:R28)</f>
        <v>552237.875</v>
      </c>
      <c r="Y29" s="4">
        <f t="shared" si="4"/>
        <v>184990.06770833334</v>
      </c>
      <c r="Z29" s="4">
        <f t="shared" ref="Z29" si="107">AVERAGE(K66:M66)</f>
        <v>206481.07291666666</v>
      </c>
      <c r="AA29">
        <f t="shared" si="6"/>
        <v>206481.07291666666</v>
      </c>
      <c r="AB29">
        <f t="shared" si="7"/>
        <v>253253.5625</v>
      </c>
    </row>
    <row r="30" spans="1:28" x14ac:dyDescent="0.2">
      <c r="A30" s="1">
        <v>490452.3125</v>
      </c>
      <c r="B30" s="1">
        <v>596228.3125</v>
      </c>
      <c r="C30" s="1">
        <v>679438.375</v>
      </c>
      <c r="F30" s="1">
        <v>-255.25634765625</v>
      </c>
      <c r="G30" s="1">
        <v>451.94790649414062</v>
      </c>
      <c r="H30" s="1">
        <v>49.560523986816406</v>
      </c>
      <c r="K30" s="1">
        <v>412517.96875</v>
      </c>
      <c r="L30" s="1">
        <v>341206.09375</v>
      </c>
      <c r="M30" s="1">
        <v>236692.453125</v>
      </c>
      <c r="P30" s="1">
        <v>659625.875</v>
      </c>
      <c r="Q30" s="1">
        <v>555248.375</v>
      </c>
      <c r="R30" s="1">
        <v>542512.25</v>
      </c>
      <c r="T30" s="3">
        <v>29</v>
      </c>
      <c r="U30" s="4">
        <f t="shared" ref="U30" si="108">AVERAGE(A29:C29)</f>
        <v>568117.54166666663</v>
      </c>
      <c r="V30">
        <f t="shared" ref="V30" si="109">AVERAGEA(F29:H29)</f>
        <v>232.278076171875</v>
      </c>
      <c r="W30" s="4">
        <f t="shared" si="2"/>
        <v>319039.75520833331</v>
      </c>
      <c r="X30">
        <f t="shared" ref="X30" si="110">AVERAGEA(P29:R29)</f>
        <v>570545.16666666663</v>
      </c>
      <c r="Y30" s="4">
        <f t="shared" si="4"/>
        <v>247942.83854166666</v>
      </c>
      <c r="Z30" s="4">
        <f t="shared" ref="Z30" si="111">AVERAGE(F67:H67)</f>
        <v>-62.074544270833336</v>
      </c>
      <c r="AA30">
        <f t="shared" si="6"/>
        <v>238706.328125</v>
      </c>
      <c r="AB30">
        <f t="shared" si="7"/>
        <v>333633.04166666669</v>
      </c>
    </row>
    <row r="31" spans="1:28" x14ac:dyDescent="0.2">
      <c r="A31" s="1">
        <v>505561.9375</v>
      </c>
      <c r="B31" s="1">
        <v>614656</v>
      </c>
      <c r="C31" s="1">
        <v>701456.9375</v>
      </c>
      <c r="F31" s="1">
        <v>-98.466140747070312</v>
      </c>
      <c r="G31" s="1">
        <v>286.90213012695312</v>
      </c>
      <c r="H31" s="1">
        <v>-79.168418884277344</v>
      </c>
      <c r="K31" s="1">
        <v>421946.96875</v>
      </c>
      <c r="L31" s="1">
        <v>353607.78125</v>
      </c>
      <c r="M31" s="1">
        <v>244149.859375</v>
      </c>
      <c r="P31" s="1">
        <v>673862.0625</v>
      </c>
      <c r="Q31" s="1">
        <v>566497.1875</v>
      </c>
      <c r="R31" s="1">
        <v>554792.625</v>
      </c>
      <c r="T31" s="3">
        <v>30</v>
      </c>
      <c r="U31">
        <f t="shared" ref="U31" si="112">AVERAGEA(A30:C30)</f>
        <v>588706.33333333337</v>
      </c>
      <c r="V31" s="4">
        <f t="shared" ref="V31" si="113">AVERAGE(F30:H30)</f>
        <v>82.084027608235672</v>
      </c>
      <c r="W31" s="4">
        <f t="shared" si="2"/>
        <v>330138.83854166669</v>
      </c>
      <c r="X31" s="4">
        <f t="shared" ref="X31" si="114">AVERAGE(P30:R30)</f>
        <v>585795.5</v>
      </c>
      <c r="Y31" s="4">
        <f t="shared" si="4"/>
        <v>311311.51041666669</v>
      </c>
      <c r="Z31" s="4">
        <f t="shared" ref="Z31" si="115">AVERAGE(K68:M68)</f>
        <v>269223.19270833331</v>
      </c>
      <c r="AA31">
        <f t="shared" si="6"/>
        <v>269223.19270833331</v>
      </c>
      <c r="AB31">
        <f t="shared" si="7"/>
        <v>405711.73958333331</v>
      </c>
    </row>
    <row r="32" spans="1:28" x14ac:dyDescent="0.2">
      <c r="A32" s="1">
        <v>518824.4375</v>
      </c>
      <c r="B32" s="1">
        <v>631080.75</v>
      </c>
      <c r="C32" s="1">
        <v>721503.5</v>
      </c>
      <c r="F32" s="1">
        <v>-213.11344909667969</v>
      </c>
      <c r="G32" s="1">
        <v>-570.62799072265625</v>
      </c>
      <c r="H32" s="1">
        <v>166.63778686523438</v>
      </c>
      <c r="K32" s="1">
        <v>428981.1875</v>
      </c>
      <c r="L32" s="1">
        <v>365299.96875</v>
      </c>
      <c r="M32" s="1">
        <v>251506.46875</v>
      </c>
      <c r="P32" s="1">
        <v>686132.375</v>
      </c>
      <c r="Q32" s="1">
        <v>576448.4375</v>
      </c>
      <c r="R32" s="1">
        <v>565669.0625</v>
      </c>
      <c r="T32" s="3">
        <v>31</v>
      </c>
      <c r="U32" s="4">
        <f t="shared" ref="U32" si="116">AVERAGE(A31:C31)</f>
        <v>607224.95833333337</v>
      </c>
      <c r="V32">
        <f t="shared" ref="V32" si="117">AVERAGEA(F31:H31)</f>
        <v>36.422523498535156</v>
      </c>
      <c r="W32" s="4">
        <f t="shared" si="2"/>
        <v>339901.53645833331</v>
      </c>
      <c r="X32">
        <f t="shared" ref="X32" si="118">AVERAGEA(P31:R31)</f>
        <v>598383.95833333337</v>
      </c>
      <c r="Y32" s="4">
        <f t="shared" si="4"/>
        <v>370077.52083333331</v>
      </c>
      <c r="Z32" s="4">
        <f t="shared" ref="Z32" si="119">AVERAGE(F69:H69)</f>
        <v>310.54147466023761</v>
      </c>
      <c r="AA32">
        <f t="shared" si="6"/>
        <v>298183.71875</v>
      </c>
      <c r="AB32">
        <f t="shared" si="7"/>
        <v>465820.63541666669</v>
      </c>
    </row>
    <row r="33" spans="1:28" x14ac:dyDescent="0.2">
      <c r="A33" s="1">
        <v>531783.5</v>
      </c>
      <c r="B33" s="1">
        <v>646117.6875</v>
      </c>
      <c r="C33" s="1">
        <v>740832.125</v>
      </c>
      <c r="F33" s="1">
        <v>-410.8583984375</v>
      </c>
      <c r="G33" s="1">
        <v>-552.07220458984375</v>
      </c>
      <c r="H33" s="1">
        <v>780.88543701171875</v>
      </c>
      <c r="K33" s="1">
        <v>435680.5625</v>
      </c>
      <c r="L33" s="1">
        <v>377268.5</v>
      </c>
      <c r="M33" s="1">
        <v>259240.09375</v>
      </c>
      <c r="P33" s="1">
        <v>695040.1875</v>
      </c>
      <c r="Q33" s="1">
        <v>584974.125</v>
      </c>
      <c r="R33" s="1">
        <v>574242.5</v>
      </c>
      <c r="T33" s="3">
        <v>32</v>
      </c>
      <c r="U33">
        <f t="shared" ref="U33" si="120">AVERAGEA(A32:C32)</f>
        <v>623802.89583333337</v>
      </c>
      <c r="V33" s="4">
        <f t="shared" ref="V33" si="121">AVERAGE(F32:H32)</f>
        <v>-205.70121765136719</v>
      </c>
      <c r="W33" s="4">
        <f t="shared" si="2"/>
        <v>348595.875</v>
      </c>
      <c r="X33" s="4">
        <f t="shared" ref="X33" si="122">AVERAGE(P32:R32)</f>
        <v>609416.625</v>
      </c>
      <c r="Y33" s="4">
        <f t="shared" si="4"/>
        <v>423794.69791666669</v>
      </c>
      <c r="Z33" s="4">
        <f t="shared" ref="Z33" si="123">AVERAGE(K70:M70)</f>
        <v>324552.55208333331</v>
      </c>
      <c r="AA33">
        <f t="shared" si="6"/>
        <v>324552.55208333331</v>
      </c>
      <c r="AB33">
        <f t="shared" si="7"/>
        <v>514822.22916666669</v>
      </c>
    </row>
    <row r="34" spans="1:28" x14ac:dyDescent="0.2">
      <c r="A34" s="1">
        <v>541675.6875</v>
      </c>
      <c r="B34" s="1">
        <v>658687.3125</v>
      </c>
      <c r="C34" s="1">
        <v>757162.25</v>
      </c>
      <c r="F34" s="1">
        <v>-300.11508178710938</v>
      </c>
      <c r="G34" s="1">
        <v>589.30780029296875</v>
      </c>
      <c r="H34" s="1">
        <v>911.593994140625</v>
      </c>
      <c r="K34" s="1">
        <v>440613.125</v>
      </c>
      <c r="L34" s="1">
        <v>387257</v>
      </c>
      <c r="M34" s="1">
        <v>265904.09375</v>
      </c>
      <c r="P34" s="1">
        <v>702527.125</v>
      </c>
      <c r="Q34" s="1">
        <v>591636.8125</v>
      </c>
      <c r="R34" s="1">
        <v>581026.5625</v>
      </c>
      <c r="T34" s="3">
        <v>33</v>
      </c>
      <c r="U34" s="4">
        <f t="shared" ref="U34" si="124">AVERAGE(A33:C33)</f>
        <v>639577.77083333337</v>
      </c>
      <c r="V34">
        <f t="shared" ref="V34" si="125">AVERAGEA(F33:H33)</f>
        <v>-60.681722005208336</v>
      </c>
      <c r="W34" s="4">
        <f t="shared" si="2"/>
        <v>357396.38541666669</v>
      </c>
      <c r="X34">
        <f t="shared" ref="X34" si="126">AVERAGEA(P33:R33)</f>
        <v>618085.60416666663</v>
      </c>
      <c r="Y34" s="4">
        <f t="shared" si="4"/>
        <v>471407.28125</v>
      </c>
      <c r="Z34" s="4">
        <f t="shared" ref="Z34" si="127">AVERAGE(F71:H71)</f>
        <v>254.27466583251953</v>
      </c>
      <c r="AA34">
        <f t="shared" si="6"/>
        <v>348373.15625</v>
      </c>
      <c r="AB34">
        <f t="shared" si="7"/>
        <v>554377.89583333337</v>
      </c>
    </row>
    <row r="35" spans="1:28" x14ac:dyDescent="0.2">
      <c r="A35" s="1">
        <v>549618.1875</v>
      </c>
      <c r="B35" s="1">
        <v>669658.9375</v>
      </c>
      <c r="C35" s="1">
        <v>769064.25</v>
      </c>
      <c r="F35" s="1">
        <v>-193.89909362792969</v>
      </c>
      <c r="G35" s="1">
        <v>1419.1644287109375</v>
      </c>
      <c r="H35" s="1">
        <v>833.69317626953125</v>
      </c>
      <c r="K35" s="1">
        <v>445669.15625</v>
      </c>
      <c r="L35" s="1">
        <v>395500.5625</v>
      </c>
      <c r="M35" s="1">
        <v>270089.25</v>
      </c>
      <c r="P35" s="1">
        <v>706673.875</v>
      </c>
      <c r="Q35" s="1">
        <v>596546</v>
      </c>
      <c r="R35" s="1">
        <v>586532.4375</v>
      </c>
      <c r="T35" s="3">
        <v>34</v>
      </c>
      <c r="U35">
        <f t="shared" ref="U35" si="128">AVERAGEA(A34:C34)</f>
        <v>652508.41666666663</v>
      </c>
      <c r="V35" s="4">
        <f t="shared" ref="V35" si="129">AVERAGE(F34:H34)</f>
        <v>400.26223754882812</v>
      </c>
      <c r="W35" s="4">
        <f t="shared" si="2"/>
        <v>364591.40625</v>
      </c>
      <c r="X35" s="4">
        <f t="shared" ref="X35" si="130">AVERAGE(P34:R34)</f>
        <v>625063.5</v>
      </c>
      <c r="Y35" s="4">
        <f t="shared" si="4"/>
        <v>513531.0625</v>
      </c>
      <c r="Z35" s="4">
        <f t="shared" ref="Z35" si="131">AVERAGE(K72:M72)</f>
        <v>370489.41666666669</v>
      </c>
      <c r="AA35">
        <f t="shared" si="6"/>
        <v>370489.41666666669</v>
      </c>
      <c r="AB35">
        <f t="shared" si="7"/>
        <v>585597.66666666663</v>
      </c>
    </row>
    <row r="36" spans="1:28" x14ac:dyDescent="0.2">
      <c r="T36" s="3">
        <v>35</v>
      </c>
      <c r="U36" s="4">
        <f t="shared" ref="U36" si="132">AVERAGE(A35:C35)</f>
        <v>662780.45833333337</v>
      </c>
      <c r="V36">
        <f t="shared" ref="V36" si="133">AVERAGEA(F35:H35)</f>
        <v>686.31950378417969</v>
      </c>
      <c r="W36" s="4">
        <f t="shared" si="2"/>
        <v>370419.65625</v>
      </c>
      <c r="X36">
        <f t="shared" ref="X36" si="134">AVERAGEA(P35:R35)</f>
        <v>629917.4375</v>
      </c>
      <c r="Y36" s="4">
        <f t="shared" si="4"/>
        <v>544922.69791666663</v>
      </c>
      <c r="Z36" s="4">
        <f t="shared" ref="Z36" si="135">AVERAGE(F73:H73)</f>
        <v>451.78130594889325</v>
      </c>
      <c r="AA36">
        <f t="shared" si="6"/>
        <v>387914.0625</v>
      </c>
      <c r="AB36">
        <f t="shared" si="7"/>
        <v>607906.625</v>
      </c>
    </row>
    <row r="39" spans="1:28" x14ac:dyDescent="0.2">
      <c r="A39" s="1">
        <v>-1565.342041015625</v>
      </c>
      <c r="B39" s="1">
        <v>-4644.36572265625</v>
      </c>
      <c r="C39" s="1">
        <v>2643.03955078125</v>
      </c>
      <c r="F39" s="1">
        <v>535.3402099609375</v>
      </c>
      <c r="G39" s="1">
        <v>-68.190658569335938</v>
      </c>
      <c r="H39" s="1">
        <v>2113.04345703125</v>
      </c>
      <c r="K39" s="1">
        <v>-4669.6279296875</v>
      </c>
      <c r="L39" s="1">
        <v>-3904.343017578125</v>
      </c>
      <c r="M39" s="1">
        <v>-3256.521484375</v>
      </c>
      <c r="P39" s="1">
        <v>-642.75543212890625</v>
      </c>
      <c r="Q39" s="1">
        <v>394.42367553710938</v>
      </c>
      <c r="R39" s="1">
        <v>1190.8514404296875</v>
      </c>
    </row>
    <row r="40" spans="1:28" x14ac:dyDescent="0.2">
      <c r="A40" s="1">
        <v>497.00811767578125</v>
      </c>
      <c r="B40" s="1">
        <v>-3965.1650390625</v>
      </c>
      <c r="C40" s="1">
        <v>832.54595947265625</v>
      </c>
      <c r="F40" s="1">
        <v>459.44094848632812</v>
      </c>
      <c r="G40" s="1">
        <v>-117.14823913574219</v>
      </c>
      <c r="H40" s="1">
        <v>1836.8380126953125</v>
      </c>
      <c r="K40" s="1">
        <v>-3931.720703125</v>
      </c>
      <c r="L40" s="1">
        <v>-3304.962158203125</v>
      </c>
      <c r="M40" s="1">
        <v>-3527.012939453125</v>
      </c>
      <c r="P40" s="1">
        <v>-523.79400634765625</v>
      </c>
      <c r="Q40" s="1">
        <v>346.97085571289062</v>
      </c>
      <c r="R40" s="1">
        <v>1126.40771484375</v>
      </c>
    </row>
    <row r="41" spans="1:28" x14ac:dyDescent="0.2">
      <c r="A41" s="1">
        <v>2606.967529296875</v>
      </c>
      <c r="B41" s="1">
        <v>-2292.565673828125</v>
      </c>
      <c r="C41" s="1">
        <v>-179.35379028320312</v>
      </c>
      <c r="F41" s="1">
        <v>347.02212524414062</v>
      </c>
      <c r="G41" s="1">
        <v>-157.46128845214844</v>
      </c>
      <c r="H41" s="1">
        <v>1521.460693359375</v>
      </c>
      <c r="K41" s="1">
        <v>-2008.3450927734375</v>
      </c>
      <c r="L41" s="1">
        <v>-1812.8155517578125</v>
      </c>
      <c r="M41" s="1">
        <v>-1554.645263671875</v>
      </c>
      <c r="P41" s="1">
        <v>-58.637321472167969</v>
      </c>
      <c r="Q41" s="1">
        <v>-248.93115234375</v>
      </c>
      <c r="R41" s="1">
        <v>515.53424072265625</v>
      </c>
    </row>
    <row r="42" spans="1:28" x14ac:dyDescent="0.2">
      <c r="A42" s="1">
        <v>1868.1302490234375</v>
      </c>
      <c r="B42" s="1">
        <v>-1457.8021240234375</v>
      </c>
      <c r="C42" s="1">
        <v>-283.64419555664062</v>
      </c>
      <c r="F42" s="1">
        <v>399.85333251953125</v>
      </c>
      <c r="G42" s="1">
        <v>128.14753723144531</v>
      </c>
      <c r="H42" s="1">
        <v>1217.1458740234375</v>
      </c>
      <c r="K42" s="1">
        <v>-1425.6881103515625</v>
      </c>
      <c r="L42" s="1">
        <v>-577.9503173828125</v>
      </c>
      <c r="M42" s="1">
        <v>-761.1055908203125</v>
      </c>
      <c r="P42" s="1">
        <v>-40.039211273193359</v>
      </c>
      <c r="Q42" s="1">
        <v>-293.14956665039062</v>
      </c>
      <c r="R42" s="1">
        <v>-92.495407104492188</v>
      </c>
    </row>
    <row r="43" spans="1:28" x14ac:dyDescent="0.2">
      <c r="A43" s="1">
        <v>-1211.47265625</v>
      </c>
      <c r="B43" s="1">
        <v>-870.5777587890625</v>
      </c>
      <c r="C43" s="1">
        <v>-406.4423828125</v>
      </c>
      <c r="F43" s="1">
        <v>225.75091552734375</v>
      </c>
      <c r="G43" s="1">
        <v>114.22901153564453</v>
      </c>
      <c r="H43" s="1">
        <v>630.43255615234375</v>
      </c>
      <c r="K43" s="1">
        <v>-589.0936279296875</v>
      </c>
      <c r="L43" s="1">
        <v>866.86810302734375</v>
      </c>
      <c r="M43" s="1">
        <v>-350.55029296875</v>
      </c>
      <c r="P43" s="1">
        <v>-253.80047607421875</v>
      </c>
      <c r="Q43" s="1">
        <v>200.44448852539062</v>
      </c>
      <c r="R43" s="1">
        <v>-48.634452819824219</v>
      </c>
    </row>
    <row r="44" spans="1:28" x14ac:dyDescent="0.2">
      <c r="A44" s="1">
        <v>-1889.95849609375</v>
      </c>
      <c r="B44" s="1">
        <v>679.5762939453125</v>
      </c>
      <c r="C44" s="1">
        <v>-327.4515380859375</v>
      </c>
      <c r="F44" s="1">
        <v>143.45712280273438</v>
      </c>
      <c r="G44" s="1">
        <v>-152.43560791015625</v>
      </c>
      <c r="H44" s="1">
        <v>-735.87054443359375</v>
      </c>
      <c r="K44" s="1">
        <v>-101.34292602539062</v>
      </c>
      <c r="L44" s="1">
        <v>1048.7490234375</v>
      </c>
      <c r="M44" s="1">
        <v>1029.7862548828125</v>
      </c>
      <c r="P44" s="1">
        <v>-145.53050231933594</v>
      </c>
      <c r="Q44" s="1">
        <v>31.07762336730957</v>
      </c>
      <c r="R44" s="1">
        <v>276.52337646484375</v>
      </c>
    </row>
    <row r="45" spans="1:28" x14ac:dyDescent="0.2">
      <c r="A45" s="1">
        <v>-1379.0693359375</v>
      </c>
      <c r="B45" s="1">
        <v>963.23028564453125</v>
      </c>
      <c r="C45" s="1">
        <v>-307.820068359375</v>
      </c>
      <c r="F45" s="1">
        <v>254.37815856933594</v>
      </c>
      <c r="G45" s="1">
        <v>-150.6939697265625</v>
      </c>
      <c r="H45" s="1">
        <v>-931.30255126953125</v>
      </c>
      <c r="K45" s="1">
        <v>962.29840087890625</v>
      </c>
      <c r="L45" s="1">
        <v>1134.8643798828125</v>
      </c>
      <c r="M45" s="1">
        <v>843.716552734375</v>
      </c>
      <c r="P45" s="1">
        <v>474.50119018554688</v>
      </c>
      <c r="Q45" s="1">
        <v>-7.6173686981201172</v>
      </c>
      <c r="R45" s="1">
        <v>-345.73284912109375</v>
      </c>
    </row>
    <row r="46" spans="1:28" x14ac:dyDescent="0.2">
      <c r="A46" s="1">
        <v>-765.3831787109375</v>
      </c>
      <c r="B46" s="1">
        <v>972.11871337890625</v>
      </c>
      <c r="C46" s="1">
        <v>731.4676513671875</v>
      </c>
      <c r="F46" s="1">
        <v>111.2835693359375</v>
      </c>
      <c r="G46" s="1">
        <v>289.80157470703125</v>
      </c>
      <c r="H46" s="1">
        <v>-298.28143310546875</v>
      </c>
      <c r="K46" s="1">
        <v>1800.0804443359375</v>
      </c>
      <c r="L46" s="1">
        <v>440.41714477539062</v>
      </c>
      <c r="M46" s="1">
        <v>444.86557006835938</v>
      </c>
      <c r="P46" s="1">
        <v>403.62664794921875</v>
      </c>
      <c r="Q46" s="1">
        <v>280.68374633789062</v>
      </c>
      <c r="R46" s="1">
        <v>-448.44219970703125</v>
      </c>
    </row>
    <row r="47" spans="1:28" x14ac:dyDescent="0.2">
      <c r="A47" s="1">
        <v>-593.3143310546875</v>
      </c>
      <c r="B47" s="1">
        <v>838.81964111328125</v>
      </c>
      <c r="C47" s="1">
        <v>640.24761962890625</v>
      </c>
      <c r="F47" s="1">
        <v>53.771011352539062</v>
      </c>
      <c r="G47" s="1">
        <v>148.824462890625</v>
      </c>
      <c r="H47" s="1">
        <v>77.716224670410156</v>
      </c>
      <c r="K47" s="1">
        <v>2105.2373046875</v>
      </c>
      <c r="L47" s="1">
        <v>-450.10818481445312</v>
      </c>
      <c r="M47" s="1">
        <v>1409.2177734375</v>
      </c>
      <c r="P47" s="1">
        <v>-19.681489944458008</v>
      </c>
      <c r="Q47" s="1">
        <v>49.918430328369141</v>
      </c>
      <c r="R47" s="1">
        <v>-383.87030029296875</v>
      </c>
    </row>
    <row r="48" spans="1:28" x14ac:dyDescent="0.2">
      <c r="A48" s="1">
        <v>-611.35479736328125</v>
      </c>
      <c r="B48" s="1">
        <v>1339.3331298828125</v>
      </c>
      <c r="C48" s="1">
        <v>537.66815185546875</v>
      </c>
      <c r="F48" s="1">
        <v>196.58267211914062</v>
      </c>
      <c r="G48" s="1">
        <v>42.964530944824219</v>
      </c>
      <c r="H48" s="1">
        <v>80.299835205078125</v>
      </c>
      <c r="K48" s="1">
        <v>1420.909912109375</v>
      </c>
      <c r="L48" s="1">
        <v>-857.08660888671875</v>
      </c>
      <c r="M48" s="1">
        <v>1064.8668212890625</v>
      </c>
      <c r="P48" s="1">
        <v>-273.2943115234375</v>
      </c>
      <c r="Q48" s="1">
        <v>-24.862499237060547</v>
      </c>
      <c r="R48" s="1">
        <v>-241.57965087890625</v>
      </c>
    </row>
    <row r="49" spans="1:18" x14ac:dyDescent="0.2">
      <c r="A49" s="1">
        <v>-494.051513671875</v>
      </c>
      <c r="B49" s="1">
        <v>1304.7684326171875</v>
      </c>
      <c r="C49" s="1">
        <v>531.00274658203125</v>
      </c>
      <c r="F49" s="1">
        <v>-6.1876926422119141</v>
      </c>
      <c r="G49" s="1">
        <v>135.42100524902344</v>
      </c>
      <c r="H49" s="1">
        <v>22.465471267700195</v>
      </c>
      <c r="K49" s="1">
        <v>995.16070556640625</v>
      </c>
      <c r="L49" s="1">
        <v>420.2630615234375</v>
      </c>
      <c r="M49" s="1">
        <v>284.56271362304688</v>
      </c>
      <c r="P49" s="1">
        <v>-220.46574401855469</v>
      </c>
      <c r="Q49" s="1">
        <v>184.2823486328125</v>
      </c>
      <c r="R49" s="1">
        <v>41.500053405761719</v>
      </c>
    </row>
    <row r="50" spans="1:18" x14ac:dyDescent="0.2">
      <c r="A50" s="1">
        <v>194.68144226074219</v>
      </c>
      <c r="B50" s="1">
        <v>1439.5709228515625</v>
      </c>
      <c r="C50" s="1">
        <v>506.75140380859375</v>
      </c>
      <c r="F50" s="1">
        <v>-151.65727233886719</v>
      </c>
      <c r="G50" s="1">
        <v>159.28764343261719</v>
      </c>
      <c r="H50" s="1">
        <v>-220.939208984375</v>
      </c>
      <c r="K50" s="1">
        <v>1094.145751953125</v>
      </c>
      <c r="L50" s="1">
        <v>798.03460693359375</v>
      </c>
      <c r="M50" s="1">
        <v>-360.21014404296875</v>
      </c>
      <c r="P50" s="1">
        <v>86.651893615722656</v>
      </c>
      <c r="Q50" s="1">
        <v>132.55220031738281</v>
      </c>
      <c r="R50" s="1">
        <v>462.01727294921875</v>
      </c>
    </row>
    <row r="51" spans="1:18" x14ac:dyDescent="0.2">
      <c r="A51" s="1">
        <v>416.60189819335938</v>
      </c>
      <c r="B51" s="1">
        <v>745.28741455078125</v>
      </c>
      <c r="C51" s="1">
        <v>12.359460830688477</v>
      </c>
      <c r="F51" s="1">
        <v>-332.31045532226562</v>
      </c>
      <c r="G51" s="1">
        <v>52.783187866210938</v>
      </c>
      <c r="H51" s="1">
        <v>-284.3165283203125</v>
      </c>
      <c r="K51" s="1">
        <v>-438.822265625</v>
      </c>
      <c r="L51" s="1">
        <v>549.82177734375</v>
      </c>
      <c r="M51" s="1">
        <v>-385.21734619140625</v>
      </c>
      <c r="P51" s="1">
        <v>191.9296875</v>
      </c>
      <c r="Q51" s="1">
        <v>-69.638877868652344</v>
      </c>
      <c r="R51" s="1">
        <v>427.51885986328125</v>
      </c>
    </row>
    <row r="52" spans="1:18" x14ac:dyDescent="0.2">
      <c r="A52" s="1">
        <v>857.1629638671875</v>
      </c>
      <c r="B52" s="1">
        <v>-157.23040771484375</v>
      </c>
      <c r="C52" s="1">
        <v>-572.704345703125</v>
      </c>
      <c r="F52" s="1">
        <v>-615.994873046875</v>
      </c>
      <c r="G52" s="1">
        <v>-130.70173645019531</v>
      </c>
      <c r="H52" s="1">
        <v>-160.27980041503906</v>
      </c>
      <c r="K52" s="1">
        <v>-1316.477783203125</v>
      </c>
      <c r="L52" s="1">
        <v>-346.73480224609375</v>
      </c>
      <c r="M52" s="1">
        <v>-1665.287109375</v>
      </c>
      <c r="P52" s="1">
        <v>93.070762634277344</v>
      </c>
      <c r="Q52" s="1">
        <v>-68.583869934082031</v>
      </c>
      <c r="R52" s="1">
        <v>-162.33894348144531</v>
      </c>
    </row>
    <row r="53" spans="1:18" x14ac:dyDescent="0.2">
      <c r="A53" s="1">
        <v>1001.0599975585938</v>
      </c>
      <c r="B53" s="1">
        <v>-728.39666748046875</v>
      </c>
      <c r="C53" s="1">
        <v>-882.0806884765625</v>
      </c>
      <c r="F53" s="1">
        <v>-692.9683837890625</v>
      </c>
      <c r="G53" s="1">
        <v>-504.72573852539062</v>
      </c>
      <c r="H53" s="1">
        <v>-152.86416625976562</v>
      </c>
      <c r="K53" s="1">
        <v>-1016.21142578125</v>
      </c>
      <c r="L53" s="1">
        <v>-1214.3226318359375</v>
      </c>
      <c r="M53" s="1">
        <v>-1988.8724365234375</v>
      </c>
      <c r="P53" s="1">
        <v>-238.33113098144531</v>
      </c>
      <c r="Q53" s="1">
        <v>259.58441162109375</v>
      </c>
      <c r="R53" s="1">
        <v>-52.087356567382812</v>
      </c>
    </row>
    <row r="54" spans="1:18" x14ac:dyDescent="0.2">
      <c r="A54" s="1">
        <v>1583.69140625</v>
      </c>
      <c r="B54" s="1">
        <v>-159.53950500488281</v>
      </c>
      <c r="C54" s="1">
        <v>-652.14453125</v>
      </c>
      <c r="F54" s="1">
        <v>-434.34811401367188</v>
      </c>
      <c r="G54" s="1">
        <v>-514.75360107421875</v>
      </c>
      <c r="H54" s="1">
        <v>-162.78445434570312</v>
      </c>
      <c r="K54" s="1">
        <v>-1481.851318359375</v>
      </c>
      <c r="L54" s="1">
        <v>-1257.816650390625</v>
      </c>
      <c r="M54" s="1">
        <v>1442.651611328125</v>
      </c>
      <c r="P54" s="1">
        <v>-143.24864196777344</v>
      </c>
      <c r="Q54" s="1">
        <v>70.186302185058594</v>
      </c>
      <c r="R54" s="1">
        <v>406.40640258789062</v>
      </c>
    </row>
    <row r="55" spans="1:18" x14ac:dyDescent="0.2">
      <c r="A55" s="1">
        <v>2399.61962890625</v>
      </c>
      <c r="B55" s="1">
        <v>-391.08859252929688</v>
      </c>
      <c r="C55" s="1">
        <v>-699.6458740234375</v>
      </c>
      <c r="F55" s="1">
        <v>338.92837524414062</v>
      </c>
      <c r="G55" s="1">
        <v>-80.043235778808594</v>
      </c>
      <c r="H55" s="1">
        <v>-389.77114868164062</v>
      </c>
      <c r="K55" s="1">
        <v>-1386.9287109375</v>
      </c>
      <c r="L55" s="1">
        <v>-301.920166015625</v>
      </c>
      <c r="M55" s="1">
        <v>6741.16015625</v>
      </c>
      <c r="P55" s="1">
        <v>323.15414428710938</v>
      </c>
      <c r="Q55" s="1">
        <v>-495.94619750976562</v>
      </c>
      <c r="R55" s="1">
        <v>913.24395751953125</v>
      </c>
    </row>
    <row r="56" spans="1:18" x14ac:dyDescent="0.2">
      <c r="A56" s="1">
        <v>2739.3447265625</v>
      </c>
      <c r="B56" s="1">
        <v>-818.91888427734375</v>
      </c>
      <c r="C56" s="1">
        <v>-373.82687377929688</v>
      </c>
      <c r="F56" s="1">
        <v>164.09941101074219</v>
      </c>
      <c r="G56" s="1">
        <v>125.90542602539062</v>
      </c>
      <c r="H56" s="1">
        <v>-454.47662353515625</v>
      </c>
      <c r="K56" s="1">
        <v>-787.55303955078125</v>
      </c>
      <c r="L56" s="1">
        <v>-227.63298034667969</v>
      </c>
      <c r="M56" s="1">
        <v>8356.2939453125</v>
      </c>
      <c r="P56" s="1">
        <v>714.78350830078125</v>
      </c>
      <c r="Q56" s="1">
        <v>-375.15289306640625</v>
      </c>
      <c r="R56" s="1">
        <v>1418.3939208984375</v>
      </c>
    </row>
    <row r="57" spans="1:18" x14ac:dyDescent="0.2">
      <c r="A57" s="1">
        <v>3248.296630859375</v>
      </c>
      <c r="B57" s="1">
        <v>-1406.585205078125</v>
      </c>
      <c r="C57" s="1">
        <v>-436.10946655273438</v>
      </c>
      <c r="F57" s="1">
        <v>31.082956314086914</v>
      </c>
      <c r="G57" s="1">
        <v>331.52987670898438</v>
      </c>
      <c r="H57" s="1">
        <v>-413.63128662109375</v>
      </c>
      <c r="K57" s="1">
        <v>1303.61962890625</v>
      </c>
      <c r="L57" s="1">
        <v>2578.544921875</v>
      </c>
      <c r="M57" s="1">
        <v>9086.3798828125</v>
      </c>
      <c r="P57" s="1">
        <v>1155.725341796875</v>
      </c>
      <c r="Q57" s="1">
        <v>879.620849609375</v>
      </c>
      <c r="R57" s="1">
        <v>2085.4658203125</v>
      </c>
    </row>
    <row r="58" spans="1:18" x14ac:dyDescent="0.2">
      <c r="A58" s="1">
        <v>5592.279296875</v>
      </c>
      <c r="B58" s="1">
        <v>-711.22021484375</v>
      </c>
      <c r="C58" s="1">
        <v>533.45953369140625</v>
      </c>
      <c r="F58" s="1">
        <v>41.171962738037109</v>
      </c>
      <c r="G58" s="1">
        <v>283.58010864257812</v>
      </c>
      <c r="H58" s="1">
        <v>-415.93051147460938</v>
      </c>
      <c r="K58" s="1">
        <v>5696.5419921875</v>
      </c>
      <c r="L58" s="1">
        <v>8766.98828125</v>
      </c>
      <c r="M58" s="1">
        <v>13015.904296875</v>
      </c>
      <c r="P58" s="1">
        <v>2469.870361328125</v>
      </c>
      <c r="Q58" s="1">
        <v>2471.05859375</v>
      </c>
      <c r="R58" s="1">
        <v>4161.30322265625</v>
      </c>
    </row>
    <row r="59" spans="1:18" x14ac:dyDescent="0.2">
      <c r="A59" s="1">
        <v>8330.9736328125</v>
      </c>
      <c r="B59" s="1">
        <v>1557.777587890625</v>
      </c>
      <c r="C59" s="1">
        <v>2872.153564453125</v>
      </c>
      <c r="F59" s="1">
        <v>81.999252319335938</v>
      </c>
      <c r="G59" s="1">
        <v>211.44674682617188</v>
      </c>
      <c r="H59" s="1">
        <v>-419.63986206054688</v>
      </c>
      <c r="K59" s="1">
        <v>13066.98046875</v>
      </c>
      <c r="L59" s="1">
        <v>17210.462890625</v>
      </c>
      <c r="M59" s="1">
        <v>26459.677734375</v>
      </c>
      <c r="P59" s="1">
        <v>5034.52294921875</v>
      </c>
      <c r="Q59" s="1">
        <v>4518.74267578125</v>
      </c>
      <c r="R59" s="1">
        <v>6228.19580078125</v>
      </c>
    </row>
    <row r="60" spans="1:18" x14ac:dyDescent="0.2">
      <c r="A60" s="1">
        <v>10575.9326171875</v>
      </c>
      <c r="B60" s="1">
        <v>4146.306640625</v>
      </c>
      <c r="C60" s="1">
        <v>5678.08984375</v>
      </c>
      <c r="F60" s="1">
        <v>191.4124755859375</v>
      </c>
      <c r="G60" s="1">
        <v>147.51649475097656</v>
      </c>
      <c r="H60" s="1">
        <v>-394.11483764648438</v>
      </c>
      <c r="K60" s="1">
        <v>26176.66796875</v>
      </c>
      <c r="L60" s="1">
        <v>31417.671875</v>
      </c>
      <c r="M60" s="1">
        <v>43065.359375</v>
      </c>
      <c r="P60" s="1">
        <v>9490.1875</v>
      </c>
      <c r="Q60" s="1">
        <v>8999.6181640625</v>
      </c>
      <c r="R60" s="1">
        <v>10475.142578125</v>
      </c>
    </row>
    <row r="61" spans="1:18" x14ac:dyDescent="0.2">
      <c r="A61" s="1">
        <v>16732.251953125</v>
      </c>
      <c r="B61" s="1">
        <v>9288.46875</v>
      </c>
      <c r="C61" s="1">
        <v>12463.994140625</v>
      </c>
      <c r="F61" s="1">
        <v>-514.12353515625</v>
      </c>
      <c r="G61" s="1">
        <v>-67.706710815429688</v>
      </c>
      <c r="H61" s="1">
        <v>-133.89451599121094</v>
      </c>
      <c r="K61" s="1">
        <v>43847.26171875</v>
      </c>
      <c r="L61" s="1">
        <v>50898.4609375</v>
      </c>
      <c r="M61" s="1">
        <v>67183.8828125</v>
      </c>
      <c r="P61" s="1">
        <v>16839.59765625</v>
      </c>
      <c r="Q61" s="1">
        <v>17999.123046875</v>
      </c>
      <c r="R61" s="1">
        <v>19068.20703125</v>
      </c>
    </row>
    <row r="62" spans="1:18" x14ac:dyDescent="0.2">
      <c r="A62" s="1">
        <v>27910.9921875</v>
      </c>
      <c r="B62" s="1">
        <v>20148.419921875</v>
      </c>
      <c r="C62" s="1">
        <v>24612.916015625</v>
      </c>
      <c r="F62" s="1">
        <v>-807.86651611328125</v>
      </c>
      <c r="G62" s="1">
        <v>-168.63304138183594</v>
      </c>
      <c r="H62" s="1">
        <v>268.4234619140625</v>
      </c>
      <c r="K62" s="1">
        <v>66473.609375</v>
      </c>
      <c r="L62" s="1">
        <v>74673.78125</v>
      </c>
      <c r="M62" s="1">
        <v>94254.96875</v>
      </c>
      <c r="P62" s="1">
        <v>31340.365234375</v>
      </c>
      <c r="Q62" s="1">
        <v>34144.18359375</v>
      </c>
      <c r="R62" s="1">
        <v>34211.30859375</v>
      </c>
    </row>
    <row r="63" spans="1:18" x14ac:dyDescent="0.2">
      <c r="A63" s="1">
        <v>48469.1484375</v>
      </c>
      <c r="B63" s="1">
        <v>38886.30078125</v>
      </c>
      <c r="C63" s="1">
        <v>45955.9140625</v>
      </c>
      <c r="F63" s="1">
        <v>-640.53533935546875</v>
      </c>
      <c r="G63" s="1">
        <v>-153.59062194824219</v>
      </c>
      <c r="H63" s="1">
        <v>-301.508544921875</v>
      </c>
      <c r="K63" s="1">
        <v>94424.671875</v>
      </c>
      <c r="L63" s="1">
        <v>103481.28125</v>
      </c>
      <c r="M63" s="1">
        <v>123775.8984375</v>
      </c>
      <c r="P63" s="1">
        <v>56880.42578125</v>
      </c>
      <c r="Q63" s="1">
        <v>63061.90234375</v>
      </c>
      <c r="R63" s="1">
        <v>62230.578125</v>
      </c>
    </row>
    <row r="64" spans="1:18" x14ac:dyDescent="0.2">
      <c r="A64" s="1">
        <v>83150.3359375</v>
      </c>
      <c r="B64" s="1">
        <v>69873.5078125</v>
      </c>
      <c r="C64" s="1">
        <v>82557.0546875</v>
      </c>
      <c r="F64" s="1">
        <v>-8.4697780609130859</v>
      </c>
      <c r="G64" s="1">
        <v>35.799449920654297</v>
      </c>
      <c r="H64" s="1">
        <v>-377.92105102539062</v>
      </c>
      <c r="K64" s="1">
        <v>126156.140625</v>
      </c>
      <c r="L64" s="1">
        <v>133109.109375</v>
      </c>
      <c r="M64" s="1">
        <v>160601.640625</v>
      </c>
      <c r="P64" s="1">
        <v>100149.484375</v>
      </c>
      <c r="Q64" s="1">
        <v>110323.1640625</v>
      </c>
      <c r="R64" s="1">
        <v>108417.0234375</v>
      </c>
    </row>
    <row r="65" spans="1:18" x14ac:dyDescent="0.2">
      <c r="A65" s="1">
        <v>130724.3203125</v>
      </c>
      <c r="B65" s="1">
        <v>112909.609375</v>
      </c>
      <c r="C65" s="1">
        <v>135854.140625</v>
      </c>
      <c r="F65" s="1">
        <v>119.06063842773438</v>
      </c>
      <c r="G65" s="1">
        <v>-10.318290710449219</v>
      </c>
      <c r="H65" s="1">
        <v>-9.3999300003051758</v>
      </c>
      <c r="K65" s="1">
        <v>158882.296875</v>
      </c>
      <c r="L65" s="1">
        <v>163714.640625</v>
      </c>
      <c r="M65" s="1">
        <v>198004.921875</v>
      </c>
      <c r="P65" s="1">
        <v>163016.5</v>
      </c>
      <c r="Q65" s="1">
        <v>177835.6875</v>
      </c>
      <c r="R65" s="1">
        <v>177158.015625</v>
      </c>
    </row>
    <row r="66" spans="1:18" x14ac:dyDescent="0.2">
      <c r="A66" s="1">
        <v>190023.953125</v>
      </c>
      <c r="B66" s="1">
        <v>165610.25</v>
      </c>
      <c r="C66" s="1">
        <v>199336</v>
      </c>
      <c r="F66" s="1">
        <v>62.305892944335938</v>
      </c>
      <c r="G66" s="1">
        <v>-487.88916015625</v>
      </c>
      <c r="H66" s="1">
        <v>374.01181030273438</v>
      </c>
      <c r="K66" s="1">
        <v>191440.078125</v>
      </c>
      <c r="L66" s="1">
        <v>194582.796875</v>
      </c>
      <c r="M66" s="1">
        <v>233420.34375</v>
      </c>
      <c r="P66" s="1">
        <v>239514.9375</v>
      </c>
      <c r="Q66" s="1">
        <v>257120.03125</v>
      </c>
      <c r="R66" s="1">
        <v>263125.71875</v>
      </c>
    </row>
    <row r="67" spans="1:18" x14ac:dyDescent="0.2">
      <c r="A67" s="1">
        <v>253274.40625</v>
      </c>
      <c r="B67" s="1">
        <v>221378.203125</v>
      </c>
      <c r="C67" s="1">
        <v>269175.90625</v>
      </c>
      <c r="F67" s="1">
        <v>-173.6129150390625</v>
      </c>
      <c r="G67" s="1">
        <v>-438.17486572265625</v>
      </c>
      <c r="H67" s="1">
        <v>425.56414794921875</v>
      </c>
      <c r="K67" s="1">
        <v>223321.109375</v>
      </c>
      <c r="L67" s="1">
        <v>223610.0625</v>
      </c>
      <c r="M67" s="1">
        <v>269187.8125</v>
      </c>
      <c r="P67" s="1">
        <v>315752.3125</v>
      </c>
      <c r="Q67" s="1">
        <v>334193.28125</v>
      </c>
      <c r="R67" s="1">
        <v>350953.53125</v>
      </c>
    </row>
    <row r="68" spans="1:18" x14ac:dyDescent="0.2">
      <c r="A68" s="1">
        <v>316720.78125</v>
      </c>
      <c r="B68" s="1">
        <v>278190.53125</v>
      </c>
      <c r="C68" s="1">
        <v>339023.21875</v>
      </c>
      <c r="F68" s="1">
        <v>-193.30516052246094</v>
      </c>
      <c r="G68" s="1">
        <v>143.2308349609375</v>
      </c>
      <c r="H68" s="1">
        <v>422.85479736328125</v>
      </c>
      <c r="K68" s="1">
        <v>254250.515625</v>
      </c>
      <c r="L68" s="1">
        <v>251800.875</v>
      </c>
      <c r="M68" s="1">
        <v>301618.1875</v>
      </c>
      <c r="P68" s="1">
        <v>384187.03125</v>
      </c>
      <c r="Q68" s="1">
        <v>402681.40625</v>
      </c>
      <c r="R68" s="1">
        <v>430266.78125</v>
      </c>
    </row>
    <row r="69" spans="1:18" x14ac:dyDescent="0.2">
      <c r="A69" s="1">
        <v>376371.5625</v>
      </c>
      <c r="B69" s="1">
        <v>330938.65625</v>
      </c>
      <c r="C69" s="1">
        <v>402922.34375</v>
      </c>
      <c r="F69" s="1">
        <v>62.256504058837891</v>
      </c>
      <c r="G69" s="1">
        <v>409.81231689453125</v>
      </c>
      <c r="H69" s="1">
        <v>459.55560302734375</v>
      </c>
      <c r="K69" s="1">
        <v>284572.09375</v>
      </c>
      <c r="L69" s="1">
        <v>278602.09375</v>
      </c>
      <c r="M69" s="1">
        <v>331376.96875</v>
      </c>
      <c r="P69" s="1">
        <v>442224.53125</v>
      </c>
      <c r="Q69" s="1">
        <v>459296.375</v>
      </c>
      <c r="R69" s="1">
        <v>495941</v>
      </c>
    </row>
    <row r="70" spans="1:18" x14ac:dyDescent="0.2">
      <c r="A70" s="1">
        <v>429976.34375</v>
      </c>
      <c r="B70" s="1">
        <v>380092.8125</v>
      </c>
      <c r="C70" s="1">
        <v>461314.9375</v>
      </c>
      <c r="F70" s="1">
        <v>520.21270751953125</v>
      </c>
      <c r="G70" s="1">
        <v>131.358642578125</v>
      </c>
      <c r="H70" s="1">
        <v>89.225143432617188</v>
      </c>
      <c r="K70" s="1">
        <v>311407.6875</v>
      </c>
      <c r="L70" s="1">
        <v>302136.75</v>
      </c>
      <c r="M70" s="1">
        <v>360113.21875</v>
      </c>
      <c r="P70" s="1">
        <v>488433.28125</v>
      </c>
      <c r="Q70" s="1">
        <v>505315.21875</v>
      </c>
      <c r="R70" s="1">
        <v>550718.1875</v>
      </c>
    </row>
    <row r="71" spans="1:18" x14ac:dyDescent="0.2">
      <c r="A71" s="1">
        <v>477334.53125</v>
      </c>
      <c r="B71" s="1">
        <v>423798.15625</v>
      </c>
      <c r="C71" s="1">
        <v>513089.15625</v>
      </c>
      <c r="F71" s="1">
        <v>601.62200927734375</v>
      </c>
      <c r="G71" s="1">
        <v>53.053398132324219</v>
      </c>
      <c r="H71" s="1">
        <v>108.14859008789062</v>
      </c>
      <c r="K71" s="1">
        <v>335323.65625</v>
      </c>
      <c r="L71" s="1">
        <v>324775.65625</v>
      </c>
      <c r="M71" s="1">
        <v>385020.15625</v>
      </c>
      <c r="P71" s="1">
        <v>526376.25</v>
      </c>
      <c r="Q71" s="1">
        <v>542714.3125</v>
      </c>
      <c r="R71" s="1">
        <v>594043.125</v>
      </c>
    </row>
    <row r="72" spans="1:18" x14ac:dyDescent="0.2">
      <c r="A72" s="1">
        <v>519070.3125</v>
      </c>
      <c r="B72" s="1">
        <v>462889.8125</v>
      </c>
      <c r="C72" s="1">
        <v>558633.0625</v>
      </c>
      <c r="F72" s="1">
        <v>625.12896728515625</v>
      </c>
      <c r="G72" s="1">
        <v>72.435661315917969</v>
      </c>
      <c r="H72" s="1">
        <v>559.622802734375</v>
      </c>
      <c r="K72" s="1">
        <v>357655.9375</v>
      </c>
      <c r="L72" s="1">
        <v>345398.96875</v>
      </c>
      <c r="M72" s="1">
        <v>408413.34375</v>
      </c>
      <c r="P72" s="1">
        <v>556230.6875</v>
      </c>
      <c r="Q72" s="1">
        <v>571985.9375</v>
      </c>
      <c r="R72" s="1">
        <v>628576.375</v>
      </c>
    </row>
    <row r="73" spans="1:18" x14ac:dyDescent="0.2">
      <c r="A73" s="1">
        <v>550153.5625</v>
      </c>
      <c r="B73" s="1">
        <v>491882.15625</v>
      </c>
      <c r="C73" s="1">
        <v>592732.375</v>
      </c>
      <c r="F73" s="1">
        <v>614.686767578125</v>
      </c>
      <c r="G73" s="1">
        <v>95.860885620117188</v>
      </c>
      <c r="H73" s="1">
        <v>644.7962646484375</v>
      </c>
      <c r="K73" s="1">
        <v>375391.09375</v>
      </c>
      <c r="L73" s="1">
        <v>362775.59375</v>
      </c>
      <c r="M73" s="1">
        <v>425575.5</v>
      </c>
      <c r="P73" s="1">
        <v>577675.5</v>
      </c>
      <c r="Q73" s="1">
        <v>592149.8125</v>
      </c>
      <c r="R73" s="1">
        <v>653894.5625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4"/>
  <sheetViews>
    <sheetView topLeftCell="I1" zoomScale="85" zoomScaleNormal="85" workbookViewId="0">
      <selection activeCell="U1" sqref="U1:AC36"/>
    </sheetView>
  </sheetViews>
  <sheetFormatPr baseColWidth="10" defaultColWidth="8.83203125" defaultRowHeight="16" x14ac:dyDescent="0.2"/>
  <cols>
    <col min="8" max="8" width="13.83203125" customWidth="1"/>
    <col min="22" max="22" width="13.6640625" customWidth="1"/>
    <col min="23" max="23" width="10.33203125" bestFit="1" customWidth="1"/>
    <col min="25" max="25" width="14.83203125" customWidth="1"/>
    <col min="26" max="26" width="13.6640625" customWidth="1"/>
    <col min="27" max="27" width="9.6640625" bestFit="1" customWidth="1"/>
    <col min="28" max="28" width="14" customWidth="1"/>
    <col min="29" max="29" width="15.6640625" customWidth="1"/>
  </cols>
  <sheetData>
    <row r="1" spans="1:29" x14ac:dyDescent="0.2">
      <c r="A1" s="1">
        <v>-291.3167724609375</v>
      </c>
      <c r="B1" s="1">
        <v>-313.55059814453125</v>
      </c>
      <c r="C1" s="1">
        <v>-2104.788818359375</v>
      </c>
      <c r="F1" s="1">
        <v>-1523.5694580078125</v>
      </c>
      <c r="G1" s="1">
        <v>-5302.525390625</v>
      </c>
      <c r="H1" s="1">
        <v>123.54146575927734</v>
      </c>
      <c r="K1" s="1">
        <v>-1181.463134765625</v>
      </c>
      <c r="L1" s="1">
        <v>-2524.202880859375</v>
      </c>
      <c r="M1" s="1">
        <v>-2356.165771484375</v>
      </c>
      <c r="P1" s="1">
        <v>-1151.6119384765625</v>
      </c>
      <c r="Q1" s="1">
        <v>-4477.48681640625</v>
      </c>
      <c r="R1" s="1">
        <v>-148.41629028320312</v>
      </c>
      <c r="V1" s="2" t="s">
        <v>0</v>
      </c>
      <c r="W1" s="2" t="s">
        <v>1</v>
      </c>
      <c r="X1" s="2" t="s">
        <v>2</v>
      </c>
      <c r="Y1" s="2" t="s">
        <v>3</v>
      </c>
      <c r="Z1" s="2" t="s">
        <v>4</v>
      </c>
      <c r="AA1" s="2" t="s">
        <v>5</v>
      </c>
      <c r="AB1" s="2" t="s">
        <v>6</v>
      </c>
      <c r="AC1" s="2" t="s">
        <v>7</v>
      </c>
    </row>
    <row r="2" spans="1:29" x14ac:dyDescent="0.2">
      <c r="A2" s="1">
        <v>-403.96957397460938</v>
      </c>
      <c r="B2" s="1">
        <v>-151.09635925292969</v>
      </c>
      <c r="C2" s="1">
        <v>-1335.8560791015625</v>
      </c>
      <c r="F2" s="1">
        <v>-1366.3507080078125</v>
      </c>
      <c r="G2" s="1">
        <v>-3351.1533203125</v>
      </c>
      <c r="H2" s="1">
        <v>190.6236572265625</v>
      </c>
      <c r="K2" s="1">
        <v>-416.27456665039062</v>
      </c>
      <c r="L2" s="1">
        <v>-1042.31982421875</v>
      </c>
      <c r="M2" s="1">
        <v>-1274.0557861328125</v>
      </c>
      <c r="P2" s="1">
        <v>-1546.7017822265625</v>
      </c>
      <c r="Q2" s="1">
        <v>-3370.059814453125</v>
      </c>
      <c r="R2" s="1">
        <v>263.890625</v>
      </c>
      <c r="U2" s="3">
        <v>1</v>
      </c>
      <c r="V2" s="4">
        <f>AVERAGE(A1:C1)</f>
        <v>-903.21872965494788</v>
      </c>
      <c r="W2" s="4">
        <f>AVERAGE(F1:H1)</f>
        <v>-2234.1844609578452</v>
      </c>
      <c r="X2">
        <f>AVERAGEA(K1:M1)</f>
        <v>-2020.610595703125</v>
      </c>
      <c r="Y2">
        <f>AVERAGEA(P1:R1)</f>
        <v>-1925.8383483886719</v>
      </c>
      <c r="Z2" s="4">
        <f>AVERAGE(A40:C40)</f>
        <v>-19.227956136067707</v>
      </c>
      <c r="AA2" s="4">
        <f>AVERAGE(F40:H40)</f>
        <v>1371.0005696614583</v>
      </c>
      <c r="AB2" s="4">
        <f>AVERAGE(K40:M40)</f>
        <v>-171.77809651692709</v>
      </c>
      <c r="AC2" s="4">
        <f>AVERAGE(P40:R40)</f>
        <v>-1464.2689158121746</v>
      </c>
    </row>
    <row r="3" spans="1:29" x14ac:dyDescent="0.2">
      <c r="A3" s="1">
        <v>-461.66146850585938</v>
      </c>
      <c r="B3" s="1">
        <v>100.79538726806641</v>
      </c>
      <c r="C3" s="1">
        <v>-436.75140380859375</v>
      </c>
      <c r="F3" s="1">
        <v>-420.28045654296875</v>
      </c>
      <c r="G3" s="1">
        <v>-1847.0941162109375</v>
      </c>
      <c r="H3" s="1">
        <v>503.10430908203125</v>
      </c>
      <c r="K3" s="1">
        <v>-134.8671875</v>
      </c>
      <c r="L3" s="1">
        <v>-85.311752319335938</v>
      </c>
      <c r="M3" s="1">
        <v>52.679130554199219</v>
      </c>
      <c r="P3" s="1">
        <v>-867.66668701171875</v>
      </c>
      <c r="Q3" s="1">
        <v>-1139.015625</v>
      </c>
      <c r="R3" s="1">
        <v>108.96317291259766</v>
      </c>
      <c r="U3" s="3">
        <v>2</v>
      </c>
      <c r="V3">
        <f>AVERAGEA(A2:C2)</f>
        <v>-630.30733744303382</v>
      </c>
      <c r="W3" s="4">
        <f>AVERAGE(F2:H2)</f>
        <v>-1508.9601236979167</v>
      </c>
      <c r="X3">
        <f>AVERAGEA(K2:M2)</f>
        <v>-910.88339233398438</v>
      </c>
      <c r="Y3" s="4">
        <f>AVERAGE(P2:R2)</f>
        <v>-1550.9569905598958</v>
      </c>
      <c r="Z3" s="4">
        <f>AVERAGE(F41:H41)</f>
        <v>1313.9754231770833</v>
      </c>
      <c r="AA3" s="4">
        <f>AVERAGE(F41:H41)</f>
        <v>1313.9754231770833</v>
      </c>
      <c r="AB3" s="4">
        <f>AVERAGE(K41:M41)</f>
        <v>685.4546171824137</v>
      </c>
      <c r="AC3" s="4">
        <f>AVERAGE(P41:R41)</f>
        <v>-1050.7547200520833</v>
      </c>
    </row>
    <row r="4" spans="1:29" x14ac:dyDescent="0.2">
      <c r="A4" s="1">
        <v>-117.39239501953125</v>
      </c>
      <c r="B4" s="1">
        <v>438.3590087890625</v>
      </c>
      <c r="C4" s="1">
        <v>146.22042846679688</v>
      </c>
      <c r="F4" s="1">
        <v>-269.98745727539062</v>
      </c>
      <c r="G4" s="1">
        <v>-728.77691650390625</v>
      </c>
      <c r="H4" s="1">
        <v>593.6318359375</v>
      </c>
      <c r="K4" s="1">
        <v>221.83705139160156</v>
      </c>
      <c r="L4" s="1">
        <v>-103.94434356689453</v>
      </c>
      <c r="M4" s="1">
        <v>127.3828125</v>
      </c>
      <c r="P4" s="1">
        <v>44.665363311767578</v>
      </c>
      <c r="Q4" s="1">
        <v>53.590961456298828</v>
      </c>
      <c r="R4" s="1">
        <v>-5.5267858505249023</v>
      </c>
      <c r="U4" s="3">
        <v>3</v>
      </c>
      <c r="V4" s="4">
        <f t="shared" ref="V4" si="0">AVERAGE(A3:C3)</f>
        <v>-265.87249501546222</v>
      </c>
      <c r="W4" s="4">
        <f t="shared" ref="W4:W36" si="1">AVERAGE(F3:H3)</f>
        <v>-588.090087890625</v>
      </c>
      <c r="X4">
        <f t="shared" ref="X4:X36" si="2">AVERAGEA(K3:M3)</f>
        <v>-55.833269755045571</v>
      </c>
      <c r="Y4">
        <f t="shared" ref="Y4" si="3">AVERAGEA(P3:R3)</f>
        <v>-632.57304636637366</v>
      </c>
      <c r="Z4" s="4">
        <f t="shared" ref="Z4" si="4">AVERAGE(A42:C42)</f>
        <v>225.3691488901774</v>
      </c>
      <c r="AA4" s="4">
        <f t="shared" ref="AA4:AA36" si="5">AVERAGE(F42:H42)</f>
        <v>850.1182963053385</v>
      </c>
      <c r="AB4" s="4">
        <f t="shared" ref="AB4:AB36" si="6">AVERAGE(K42:M42)</f>
        <v>339.59879048665363</v>
      </c>
      <c r="AC4" s="4">
        <f t="shared" ref="AC4:AC36" si="7">AVERAGE(P42:R42)</f>
        <v>-856.49842834472656</v>
      </c>
    </row>
    <row r="5" spans="1:29" x14ac:dyDescent="0.2">
      <c r="A5" s="1">
        <v>-94.349891662597656</v>
      </c>
      <c r="B5" s="1">
        <v>-569.905517578125</v>
      </c>
      <c r="C5" s="1">
        <v>339.98129272460938</v>
      </c>
      <c r="F5" s="1">
        <v>-133.80387878417969</v>
      </c>
      <c r="G5" s="1">
        <v>-403.42074584960938</v>
      </c>
      <c r="H5" s="1">
        <v>424.69448852539062</v>
      </c>
      <c r="K5" s="1">
        <v>7.3381695747375488</v>
      </c>
      <c r="L5" s="1">
        <v>-50.623809814453125</v>
      </c>
      <c r="M5" s="1">
        <v>-328.99163818359375</v>
      </c>
      <c r="P5" s="1">
        <v>456.09896850585938</v>
      </c>
      <c r="Q5" s="1">
        <v>884.21319580078125</v>
      </c>
      <c r="R5" s="1">
        <v>-136.23548889160156</v>
      </c>
      <c r="U5" s="3">
        <v>4</v>
      </c>
      <c r="V5">
        <f t="shared" ref="V5" si="8">AVERAGEA(A4:C4)</f>
        <v>155.72901407877603</v>
      </c>
      <c r="W5" s="4">
        <f t="shared" si="1"/>
        <v>-135.04417928059897</v>
      </c>
      <c r="X5">
        <f t="shared" si="2"/>
        <v>81.758506774902344</v>
      </c>
      <c r="Y5" s="4">
        <f t="shared" ref="Y5" si="9">AVERAGE(P4:R4)</f>
        <v>30.909846305847168</v>
      </c>
      <c r="Z5" s="4">
        <f t="shared" ref="Z5" si="10">AVERAGE(F43:H43)</f>
        <v>641.3900248209635</v>
      </c>
      <c r="AA5" s="4">
        <f t="shared" si="5"/>
        <v>641.3900248209635</v>
      </c>
      <c r="AB5" s="4">
        <f t="shared" si="6"/>
        <v>396.02940368652344</v>
      </c>
      <c r="AC5" s="4">
        <f t="shared" si="7"/>
        <v>-644.53901163736975</v>
      </c>
    </row>
    <row r="6" spans="1:29" x14ac:dyDescent="0.2">
      <c r="A6" s="1">
        <v>528.981689453125</v>
      </c>
      <c r="B6" s="1">
        <v>-439.37313842773438</v>
      </c>
      <c r="C6" s="1">
        <v>187.1015625</v>
      </c>
      <c r="F6" s="1">
        <v>617.84844970703125</v>
      </c>
      <c r="G6" s="1">
        <v>-351.0255126953125</v>
      </c>
      <c r="H6" s="1">
        <v>-406.22332763671875</v>
      </c>
      <c r="K6" s="1">
        <v>-114.05133819580078</v>
      </c>
      <c r="L6" s="1">
        <v>353.38421630859375</v>
      </c>
      <c r="M6" s="1">
        <v>-282.24105834960938</v>
      </c>
      <c r="P6" s="1">
        <v>519.14190673828125</v>
      </c>
      <c r="Q6" s="1">
        <v>663.52288818359375</v>
      </c>
      <c r="R6" s="1">
        <v>-54.225444793701172</v>
      </c>
      <c r="U6" s="3">
        <v>5</v>
      </c>
      <c r="V6" s="4">
        <f t="shared" ref="V6" si="11">AVERAGE(A5:C5)</f>
        <v>-108.09137217203777</v>
      </c>
      <c r="W6" s="4">
        <f t="shared" si="1"/>
        <v>-37.510045369466148</v>
      </c>
      <c r="X6">
        <f t="shared" si="2"/>
        <v>-124.0924261411031</v>
      </c>
      <c r="Y6">
        <f t="shared" ref="Y6" si="12">AVERAGEA(P5:R5)</f>
        <v>401.358891805013</v>
      </c>
      <c r="Z6" s="4">
        <f t="shared" ref="Z6" si="13">AVERAGE(A44:C44)</f>
        <v>33.950644175211586</v>
      </c>
      <c r="AA6" s="4">
        <f t="shared" si="5"/>
        <v>388.93778483072919</v>
      </c>
      <c r="AB6" s="4">
        <f t="shared" si="6"/>
        <v>77.376678466796875</v>
      </c>
      <c r="AC6" s="4">
        <f t="shared" si="7"/>
        <v>506.07146199544269</v>
      </c>
    </row>
    <row r="7" spans="1:29" x14ac:dyDescent="0.2">
      <c r="A7" s="1">
        <v>443.508544921875</v>
      </c>
      <c r="B7" s="1">
        <v>331.04986572265625</v>
      </c>
      <c r="C7" s="1">
        <v>80.987442016601562</v>
      </c>
      <c r="F7" s="1">
        <v>739.12579345703125</v>
      </c>
      <c r="G7" s="1">
        <v>309.30722045898438</v>
      </c>
      <c r="H7" s="1">
        <v>-521.15673828125</v>
      </c>
      <c r="K7" s="1">
        <v>-20.862722396850586</v>
      </c>
      <c r="L7" s="1">
        <v>287.43914794921875</v>
      </c>
      <c r="M7" s="1">
        <v>404.22824096679688</v>
      </c>
      <c r="P7" s="1">
        <v>404.01303100585938</v>
      </c>
      <c r="Q7" s="1">
        <v>236.22322082519531</v>
      </c>
      <c r="R7" s="1">
        <v>-5.5513391494750977</v>
      </c>
      <c r="U7" s="3">
        <v>6</v>
      </c>
      <c r="V7">
        <f t="shared" ref="V7" si="14">AVERAGEA(A6:C6)</f>
        <v>92.236704508463546</v>
      </c>
      <c r="W7" s="4">
        <f t="shared" si="1"/>
        <v>-46.466796875</v>
      </c>
      <c r="X7">
        <f t="shared" si="2"/>
        <v>-14.302726745605469</v>
      </c>
      <c r="Y7" s="4">
        <f t="shared" ref="Y7" si="15">AVERAGE(P6:R6)</f>
        <v>376.14645004272461</v>
      </c>
      <c r="Z7" s="4">
        <f t="shared" ref="Z7" si="16">AVERAGE(F45:H45)</f>
        <v>211.00638834635416</v>
      </c>
      <c r="AA7" s="4">
        <f t="shared" si="5"/>
        <v>211.00638834635416</v>
      </c>
      <c r="AB7" s="4">
        <f t="shared" si="6"/>
        <v>66.406239827473954</v>
      </c>
      <c r="AC7" s="4">
        <f t="shared" si="7"/>
        <v>465.47362263997394</v>
      </c>
    </row>
    <row r="8" spans="1:29" x14ac:dyDescent="0.2">
      <c r="A8" s="1">
        <v>466.88699340820312</v>
      </c>
      <c r="B8" s="1">
        <v>139.07440185546875</v>
      </c>
      <c r="C8" s="1">
        <v>-193.79855346679688</v>
      </c>
      <c r="F8" s="1">
        <v>699.5672607421875</v>
      </c>
      <c r="G8" s="1">
        <v>197.88996887207031</v>
      </c>
      <c r="H8" s="1">
        <v>-257.36361694335938</v>
      </c>
      <c r="K8" s="1">
        <v>-124.79911041259766</v>
      </c>
      <c r="L8" s="1">
        <v>-400.94345092773438</v>
      </c>
      <c r="M8" s="1">
        <v>401.24441528320312</v>
      </c>
      <c r="P8" s="1">
        <v>-20.795572280883789</v>
      </c>
      <c r="Q8" s="1">
        <v>-47.232700347900391</v>
      </c>
      <c r="R8" s="1">
        <v>92.575889587402344</v>
      </c>
      <c r="U8" s="3">
        <v>7</v>
      </c>
      <c r="V8" s="4">
        <f t="shared" ref="V8" si="17">AVERAGE(A7:C7)</f>
        <v>285.18195088704425</v>
      </c>
      <c r="W8" s="4">
        <f t="shared" si="1"/>
        <v>175.75875854492188</v>
      </c>
      <c r="X8">
        <f t="shared" si="2"/>
        <v>223.60155550638834</v>
      </c>
      <c r="Y8">
        <f t="shared" ref="Y8" si="18">AVERAGEA(P7:R7)</f>
        <v>211.56163756052652</v>
      </c>
      <c r="Z8" s="4">
        <f t="shared" ref="Z8" si="19">AVERAGE(A46:C46)</f>
        <v>-164.98869323730469</v>
      </c>
      <c r="AA8" s="4">
        <f t="shared" si="5"/>
        <v>247.50208028157553</v>
      </c>
      <c r="AB8" s="4">
        <f t="shared" si="6"/>
        <v>-159.69439570109049</v>
      </c>
      <c r="AC8" s="4">
        <f t="shared" si="7"/>
        <v>855.05019124348962</v>
      </c>
    </row>
    <row r="9" spans="1:29" x14ac:dyDescent="0.2">
      <c r="A9" s="1">
        <v>27.507625579833984</v>
      </c>
      <c r="B9" s="1">
        <v>490.46615600585938</v>
      </c>
      <c r="C9" s="1">
        <v>-123.74079132080078</v>
      </c>
      <c r="F9" s="1">
        <v>431.32113647460938</v>
      </c>
      <c r="G9" s="1">
        <v>168.87896728515625</v>
      </c>
      <c r="H9" s="1">
        <v>-408.47671508789062</v>
      </c>
      <c r="K9" s="1">
        <v>344.74887084960938</v>
      </c>
      <c r="L9" s="1">
        <v>135.58021545410156</v>
      </c>
      <c r="M9" s="1">
        <v>-374.30191040039062</v>
      </c>
      <c r="P9" s="1">
        <v>-209.79167175292969</v>
      </c>
      <c r="Q9" s="1">
        <v>-37.797992706298828</v>
      </c>
      <c r="R9" s="1">
        <v>1.015625</v>
      </c>
      <c r="U9" s="3">
        <v>8</v>
      </c>
      <c r="V9">
        <f t="shared" ref="V9" si="20">AVERAGEA(A8:C8)</f>
        <v>137.38761393229166</v>
      </c>
      <c r="W9" s="4">
        <f t="shared" si="1"/>
        <v>213.36453755696616</v>
      </c>
      <c r="X9">
        <f t="shared" si="2"/>
        <v>-41.499382019042969</v>
      </c>
      <c r="Y9" s="4">
        <f t="shared" ref="Y9" si="21">AVERAGE(P8:R8)</f>
        <v>8.1825389862060547</v>
      </c>
      <c r="Z9" s="4">
        <f t="shared" ref="Z9" si="22">AVERAGE(F47:H47)</f>
        <v>192.81547800699869</v>
      </c>
      <c r="AA9" s="4">
        <f t="shared" si="5"/>
        <v>192.81547800699869</v>
      </c>
      <c r="AB9" s="4">
        <f t="shared" si="6"/>
        <v>-136.55025227864584</v>
      </c>
      <c r="AC9" s="4">
        <f t="shared" si="7"/>
        <v>-300.69345092773438</v>
      </c>
    </row>
    <row r="10" spans="1:29" x14ac:dyDescent="0.2">
      <c r="A10" s="1">
        <v>-793.48114013671875</v>
      </c>
      <c r="B10" s="1">
        <v>1436.80322265625</v>
      </c>
      <c r="C10" s="1">
        <v>471.53570556640625</v>
      </c>
      <c r="F10" s="1">
        <v>-412.27651977539062</v>
      </c>
      <c r="G10" s="1">
        <v>929.09454345703125</v>
      </c>
      <c r="H10" s="1">
        <v>-552.9453125</v>
      </c>
      <c r="K10" s="1">
        <v>-179.34375</v>
      </c>
      <c r="L10" s="1">
        <v>983.4007568359375</v>
      </c>
      <c r="M10" s="1">
        <v>-339.66070556640625</v>
      </c>
      <c r="P10" s="1">
        <v>162.29035949707031</v>
      </c>
      <c r="Q10" s="1">
        <v>-613.50390625</v>
      </c>
      <c r="R10" s="1">
        <v>335.86160278320312</v>
      </c>
      <c r="U10" s="3">
        <v>9</v>
      </c>
      <c r="V10" s="4">
        <f t="shared" ref="V10" si="23">AVERAGE(A9:C9)</f>
        <v>131.4109967549642</v>
      </c>
      <c r="W10" s="4">
        <f t="shared" si="1"/>
        <v>63.907796223958336</v>
      </c>
      <c r="X10">
        <f t="shared" si="2"/>
        <v>35.342391967773438</v>
      </c>
      <c r="Y10">
        <f t="shared" ref="Y10" si="24">AVERAGEA(P9:R9)</f>
        <v>-82.1913464864095</v>
      </c>
      <c r="Z10" s="4">
        <f t="shared" ref="Z10" si="25">AVERAGE(A48:C48)</f>
        <v>87.93133544921875</v>
      </c>
      <c r="AA10" s="4">
        <f t="shared" si="5"/>
        <v>-53.916697184244789</v>
      </c>
      <c r="AB10" s="4">
        <f t="shared" si="6"/>
        <v>-334.21337890625</v>
      </c>
      <c r="AC10" s="4">
        <f t="shared" si="7"/>
        <v>-710.39546712239587</v>
      </c>
    </row>
    <row r="11" spans="1:29" x14ac:dyDescent="0.2">
      <c r="A11" s="1">
        <v>-1059.2901611328125</v>
      </c>
      <c r="B11" s="1">
        <v>1975.6949462890625</v>
      </c>
      <c r="C11" s="1">
        <v>1349.507568359375</v>
      </c>
      <c r="F11" s="1">
        <v>-585.2569580078125</v>
      </c>
      <c r="G11" s="1">
        <v>841.11474609375</v>
      </c>
      <c r="H11" s="1">
        <v>-408.18344116210938</v>
      </c>
      <c r="K11" s="1">
        <v>-433.51449584960938</v>
      </c>
      <c r="L11" s="1">
        <v>2045.3775634765625</v>
      </c>
      <c r="M11" s="1">
        <v>707.65234375</v>
      </c>
      <c r="P11" s="1">
        <v>-487.95571899414062</v>
      </c>
      <c r="Q11" s="1">
        <v>-901.7254638671875</v>
      </c>
      <c r="R11" s="1">
        <v>1398.3248291015625</v>
      </c>
      <c r="U11" s="3">
        <v>10</v>
      </c>
      <c r="V11">
        <f t="shared" ref="V11" si="26">AVERAGEA(A10:C10)</f>
        <v>371.6192626953125</v>
      </c>
      <c r="W11" s="4">
        <f t="shared" si="1"/>
        <v>-12.042429606119791</v>
      </c>
      <c r="X11">
        <f t="shared" si="2"/>
        <v>154.79876708984375</v>
      </c>
      <c r="Y11" s="4">
        <f t="shared" ref="Y11" si="27">AVERAGE(P10:R10)</f>
        <v>-38.450647989908852</v>
      </c>
      <c r="Z11" s="4">
        <f t="shared" ref="Z11" si="28">AVERAGE(F49:H49)</f>
        <v>-261.07465616861981</v>
      </c>
      <c r="AA11" s="4">
        <f t="shared" si="5"/>
        <v>-261.07465616861981</v>
      </c>
      <c r="AB11" s="4">
        <f t="shared" si="6"/>
        <v>-556.34527842203772</v>
      </c>
      <c r="AC11" s="4">
        <f t="shared" si="7"/>
        <v>-491.60792032877606</v>
      </c>
    </row>
    <row r="12" spans="1:29" x14ac:dyDescent="0.2">
      <c r="A12" s="1">
        <v>-192.2164306640625</v>
      </c>
      <c r="B12" s="1">
        <v>2464.508544921875</v>
      </c>
      <c r="C12" s="1">
        <v>2174.557373046875</v>
      </c>
      <c r="F12" s="1">
        <v>-452.2686767578125</v>
      </c>
      <c r="G12" s="1">
        <v>23.174076080322266</v>
      </c>
      <c r="H12" s="1">
        <v>48.664398193359375</v>
      </c>
      <c r="K12" s="1">
        <v>766.23663330078125</v>
      </c>
      <c r="L12" s="1">
        <v>3846.963623046875</v>
      </c>
      <c r="M12" s="1">
        <v>1698.7623291015625</v>
      </c>
      <c r="P12" s="1">
        <v>-77.928382873535156</v>
      </c>
      <c r="Q12" s="1">
        <v>74.271766662597656</v>
      </c>
      <c r="R12" s="1">
        <v>3023.881591796875</v>
      </c>
      <c r="U12" s="3">
        <v>11</v>
      </c>
      <c r="V12" s="4">
        <f t="shared" ref="V12" si="29">AVERAGE(A11:C11)</f>
        <v>755.30411783854163</v>
      </c>
      <c r="W12" s="4">
        <f t="shared" si="1"/>
        <v>-50.775217692057289</v>
      </c>
      <c r="X12">
        <f t="shared" si="2"/>
        <v>773.17180379231775</v>
      </c>
      <c r="Y12">
        <f t="shared" ref="Y12" si="30">AVERAGEA(P11:R11)</f>
        <v>2.8812154134114585</v>
      </c>
      <c r="Z12" s="4">
        <f t="shared" ref="Z12" si="31">AVERAGE(A50:C50)</f>
        <v>-111.72154744466145</v>
      </c>
      <c r="AA12" s="4">
        <f t="shared" si="5"/>
        <v>-205.66880671183267</v>
      </c>
      <c r="AB12" s="4">
        <f t="shared" si="6"/>
        <v>-484.48238372802734</v>
      </c>
      <c r="AC12" s="4">
        <f t="shared" si="7"/>
        <v>24.981727600097656</v>
      </c>
    </row>
    <row r="13" spans="1:29" x14ac:dyDescent="0.2">
      <c r="A13" s="1">
        <v>673.9197998046875</v>
      </c>
      <c r="B13" s="1">
        <v>3934.056640625</v>
      </c>
      <c r="C13" s="1">
        <v>3554.591796875</v>
      </c>
      <c r="F13" s="1">
        <v>-373.2335205078125</v>
      </c>
      <c r="G13" s="1">
        <v>-124.26661682128906</v>
      </c>
      <c r="H13" s="1">
        <v>128.76612854003906</v>
      </c>
      <c r="K13" s="1">
        <v>3055.23779296875</v>
      </c>
      <c r="L13" s="1">
        <v>6874.6435546875</v>
      </c>
      <c r="M13" s="1">
        <v>3239.372314453125</v>
      </c>
      <c r="P13" s="1">
        <v>1371.1614990234375</v>
      </c>
      <c r="Q13" s="1">
        <v>1032.3001708984375</v>
      </c>
      <c r="R13" s="1">
        <v>4652.2509765625</v>
      </c>
      <c r="U13" s="3">
        <v>12</v>
      </c>
      <c r="V13">
        <f t="shared" ref="V13" si="32">AVERAGEA(A12:C12)</f>
        <v>1482.2831624348958</v>
      </c>
      <c r="W13" s="4">
        <f t="shared" si="1"/>
        <v>-126.81006749471028</v>
      </c>
      <c r="X13">
        <f t="shared" si="2"/>
        <v>2103.9875284830728</v>
      </c>
      <c r="Y13" s="4">
        <f t="shared" ref="Y13" si="33">AVERAGE(P12:R12)</f>
        <v>1006.7416585286459</v>
      </c>
      <c r="Z13" s="4">
        <f t="shared" ref="Z13" si="34">AVERAGE(F51:H51)</f>
        <v>-243.28640492757162</v>
      </c>
      <c r="AA13" s="4">
        <f t="shared" si="5"/>
        <v>-243.28640492757162</v>
      </c>
      <c r="AB13" s="4">
        <f t="shared" si="6"/>
        <v>-21.754898071289062</v>
      </c>
      <c r="AC13" s="4">
        <f t="shared" si="7"/>
        <v>253.40471394856772</v>
      </c>
    </row>
    <row r="14" spans="1:29" x14ac:dyDescent="0.2">
      <c r="A14" s="1">
        <v>2144.90771484375</v>
      </c>
      <c r="B14" s="1">
        <v>6993.9091796875</v>
      </c>
      <c r="C14" s="1">
        <v>5684.4619140625</v>
      </c>
      <c r="F14" s="1">
        <v>-251.1671142578125</v>
      </c>
      <c r="G14" s="1">
        <v>595.76141357421875</v>
      </c>
      <c r="H14" s="1">
        <v>138.00457763671875</v>
      </c>
      <c r="K14" s="1">
        <v>7229.23876953125</v>
      </c>
      <c r="L14" s="1">
        <v>11637.1513671875</v>
      </c>
      <c r="M14" s="1">
        <v>8515.779296875</v>
      </c>
      <c r="P14" s="1">
        <v>4210.36865234375</v>
      </c>
      <c r="Q14" s="1">
        <v>4056.00048828125</v>
      </c>
      <c r="R14" s="1">
        <v>8856.4794921875</v>
      </c>
      <c r="U14" s="3">
        <v>13</v>
      </c>
      <c r="V14" s="4">
        <f t="shared" ref="V14" si="35">AVERAGE(A13:C13)</f>
        <v>2720.8560791015625</v>
      </c>
      <c r="W14" s="4">
        <f t="shared" si="1"/>
        <v>-122.91133626302083</v>
      </c>
      <c r="X14">
        <f t="shared" si="2"/>
        <v>4389.751220703125</v>
      </c>
      <c r="Y14">
        <f t="shared" ref="Y14" si="36">AVERAGEA(P13:R13)</f>
        <v>2351.9042154947915</v>
      </c>
      <c r="Z14" s="4">
        <f t="shared" ref="Z14" si="37">AVERAGE(A52:C52)</f>
        <v>-186.82233683268228</v>
      </c>
      <c r="AA14" s="4">
        <f t="shared" si="5"/>
        <v>-363.92221577962238</v>
      </c>
      <c r="AB14" s="4">
        <f t="shared" si="6"/>
        <v>296.18092346191406</v>
      </c>
      <c r="AC14" s="4">
        <f t="shared" si="7"/>
        <v>865.33553059895837</v>
      </c>
    </row>
    <row r="15" spans="1:29" x14ac:dyDescent="0.2">
      <c r="A15" s="1">
        <v>5427.9189453125</v>
      </c>
      <c r="B15" s="1">
        <v>12193.48046875</v>
      </c>
      <c r="C15" s="1">
        <v>11706.16796875</v>
      </c>
      <c r="F15" s="1">
        <v>-17.858522415161133</v>
      </c>
      <c r="G15" s="1">
        <v>597.89886474609375</v>
      </c>
      <c r="H15" s="1">
        <v>167.42271423339844</v>
      </c>
      <c r="K15" s="1">
        <v>14649.302734375</v>
      </c>
      <c r="L15" s="1">
        <v>19800.19140625</v>
      </c>
      <c r="M15" s="1">
        <v>16336.732421875</v>
      </c>
      <c r="P15" s="1">
        <v>8688.2314453125</v>
      </c>
      <c r="Q15" s="1">
        <v>11528.029296875</v>
      </c>
      <c r="R15" s="1">
        <v>15899.349609375</v>
      </c>
      <c r="U15" s="3">
        <v>14</v>
      </c>
      <c r="V15">
        <f t="shared" ref="V15" si="38">AVERAGEA(A14:C14)</f>
        <v>4941.092936197917</v>
      </c>
      <c r="W15" s="4">
        <f t="shared" si="1"/>
        <v>160.86629231770834</v>
      </c>
      <c r="X15">
        <f t="shared" si="2"/>
        <v>9127.3898111979161</v>
      </c>
      <c r="Y15" s="4">
        <f t="shared" ref="Y15" si="39">AVERAGE(P14:R14)</f>
        <v>5707.6162109375</v>
      </c>
      <c r="Z15" s="4">
        <f t="shared" ref="Z15" si="40">AVERAGE(F53:H53)</f>
        <v>-548.97600301106775</v>
      </c>
      <c r="AA15" s="4">
        <f t="shared" si="5"/>
        <v>-548.97600301106775</v>
      </c>
      <c r="AB15" s="4">
        <f t="shared" si="6"/>
        <v>72.377156575520829</v>
      </c>
      <c r="AC15" s="4">
        <f t="shared" si="7"/>
        <v>811.11265563964844</v>
      </c>
    </row>
    <row r="16" spans="1:29" x14ac:dyDescent="0.2">
      <c r="A16" s="1">
        <v>11321.9140625</v>
      </c>
      <c r="B16" s="1">
        <v>23109.091796875</v>
      </c>
      <c r="C16" s="1">
        <v>22509.484375</v>
      </c>
      <c r="F16" s="1">
        <v>134.8406982421875</v>
      </c>
      <c r="G16" s="1">
        <v>417.62225341796875</v>
      </c>
      <c r="H16" s="1">
        <v>219.57522583007812</v>
      </c>
      <c r="K16" s="1">
        <v>27221.021484375</v>
      </c>
      <c r="L16" s="1">
        <v>32303.48046875</v>
      </c>
      <c r="M16" s="1">
        <v>28093.076171875</v>
      </c>
      <c r="P16" s="1">
        <v>16105.2041015625</v>
      </c>
      <c r="Q16" s="1">
        <v>23395.697265625</v>
      </c>
      <c r="R16" s="1">
        <v>26850.0390625</v>
      </c>
      <c r="U16" s="3">
        <v>15</v>
      </c>
      <c r="V16" s="4">
        <f t="shared" ref="V16" si="41">AVERAGE(A15:C15)</f>
        <v>9775.8557942708339</v>
      </c>
      <c r="W16" s="4">
        <f t="shared" si="1"/>
        <v>249.15435218811035</v>
      </c>
      <c r="X16">
        <f t="shared" si="2"/>
        <v>16928.7421875</v>
      </c>
      <c r="Y16">
        <f t="shared" ref="Y16" si="42">AVERAGEA(P15:R15)</f>
        <v>12038.536783854166</v>
      </c>
      <c r="Z16" s="4">
        <f t="shared" ref="Z16" si="43">AVERAGE(A54:C54)</f>
        <v>66.821650187174484</v>
      </c>
      <c r="AA16" s="4">
        <f t="shared" si="5"/>
        <v>-597.22380320231116</v>
      </c>
      <c r="AB16" s="4">
        <f t="shared" si="6"/>
        <v>35.880681355794273</v>
      </c>
      <c r="AC16" s="4">
        <f t="shared" si="7"/>
        <v>545.12155787150061</v>
      </c>
    </row>
    <row r="17" spans="1:29" x14ac:dyDescent="0.2">
      <c r="A17" s="1">
        <v>21076.51953125</v>
      </c>
      <c r="B17" s="1">
        <v>40810.9375</v>
      </c>
      <c r="C17" s="1">
        <v>41073.48828125</v>
      </c>
      <c r="F17" s="1">
        <v>160.0086669921875</v>
      </c>
      <c r="G17" s="1">
        <v>260.55654907226562</v>
      </c>
      <c r="H17" s="1">
        <v>330.48553466796875</v>
      </c>
      <c r="K17" s="1">
        <v>46005.4609375</v>
      </c>
      <c r="L17" s="1">
        <v>51041.16015625</v>
      </c>
      <c r="M17" s="1">
        <v>44903.46875</v>
      </c>
      <c r="P17" s="1">
        <v>27357.044921875</v>
      </c>
      <c r="Q17" s="1">
        <v>39310.8671875</v>
      </c>
      <c r="R17" s="1">
        <v>42712.76171875</v>
      </c>
      <c r="U17" s="3">
        <v>16</v>
      </c>
      <c r="V17">
        <f t="shared" ref="V17" si="44">AVERAGEA(A16:C16)</f>
        <v>18980.163411458332</v>
      </c>
      <c r="W17" s="4">
        <f t="shared" si="1"/>
        <v>257.34605916341144</v>
      </c>
      <c r="X17">
        <f t="shared" si="2"/>
        <v>29205.859375</v>
      </c>
      <c r="Y17" s="4">
        <f t="shared" ref="Y17" si="45">AVERAGE(P16:R16)</f>
        <v>22116.980143229168</v>
      </c>
      <c r="Z17" s="4">
        <f t="shared" ref="Z17" si="46">AVERAGE(F55:H55)</f>
        <v>-387.840092976888</v>
      </c>
      <c r="AA17" s="4">
        <f t="shared" si="5"/>
        <v>-387.840092976888</v>
      </c>
      <c r="AB17" s="4">
        <f t="shared" si="6"/>
        <v>-79.761617024739579</v>
      </c>
      <c r="AC17" s="4">
        <f t="shared" si="7"/>
        <v>329.80235036214191</v>
      </c>
    </row>
    <row r="18" spans="1:29" x14ac:dyDescent="0.2">
      <c r="A18" s="1">
        <v>35396.21875</v>
      </c>
      <c r="B18" s="1">
        <v>66873.015625</v>
      </c>
      <c r="C18" s="1">
        <v>70946.9921875</v>
      </c>
      <c r="F18" s="1">
        <v>65.832893371582031</v>
      </c>
      <c r="G18" s="1">
        <v>313.2174072265625</v>
      </c>
      <c r="H18" s="1">
        <v>445.6458740234375</v>
      </c>
      <c r="K18" s="1">
        <v>68226.5859375</v>
      </c>
      <c r="L18" s="1">
        <v>72984.359375</v>
      </c>
      <c r="M18" s="1">
        <v>66066.96875</v>
      </c>
      <c r="P18" s="1">
        <v>42563.2109375</v>
      </c>
      <c r="Q18" s="1">
        <v>58937.23828125</v>
      </c>
      <c r="R18" s="1">
        <v>61419.77734375</v>
      </c>
      <c r="U18" s="3">
        <v>17</v>
      </c>
      <c r="V18" s="4">
        <f t="shared" ref="V18" si="47">AVERAGE(A17:C17)</f>
        <v>34320.315104166664</v>
      </c>
      <c r="W18" s="4">
        <f t="shared" si="1"/>
        <v>250.35025024414062</v>
      </c>
      <c r="X18">
        <f t="shared" si="2"/>
        <v>47316.696614583336</v>
      </c>
      <c r="Y18">
        <f t="shared" ref="Y18" si="48">AVERAGEA(P17:R17)</f>
        <v>36460.224609375</v>
      </c>
      <c r="Z18" s="4">
        <f t="shared" ref="Z18" si="49">AVERAGE(A56:C56)</f>
        <v>227.86668650309244</v>
      </c>
      <c r="AA18" s="4">
        <f t="shared" si="5"/>
        <v>-277.220708211263</v>
      </c>
      <c r="AB18" s="4">
        <f t="shared" si="6"/>
        <v>196.7991943359375</v>
      </c>
      <c r="AC18" s="4">
        <f t="shared" si="7"/>
        <v>70.511795043945312</v>
      </c>
    </row>
    <row r="19" spans="1:29" x14ac:dyDescent="0.2">
      <c r="A19" s="1">
        <v>54134.58984375</v>
      </c>
      <c r="B19" s="1">
        <v>100840.234375</v>
      </c>
      <c r="C19" s="1">
        <v>112600.8046875</v>
      </c>
      <c r="F19" s="1">
        <v>-98.749130249023438</v>
      </c>
      <c r="G19" s="1">
        <v>245.45640563964844</v>
      </c>
      <c r="H19" s="1">
        <v>954.25933837890625</v>
      </c>
      <c r="K19" s="1">
        <v>93078.1328125</v>
      </c>
      <c r="L19" s="1">
        <v>99564.9140625</v>
      </c>
      <c r="M19" s="1">
        <v>90869.5</v>
      </c>
      <c r="P19" s="1">
        <v>60480.99609375</v>
      </c>
      <c r="Q19" s="1">
        <v>82376.265625</v>
      </c>
      <c r="R19" s="1">
        <v>83641.3125</v>
      </c>
      <c r="U19" s="3">
        <v>18</v>
      </c>
      <c r="V19">
        <f t="shared" ref="V19" si="50">AVERAGEA(A18:C18)</f>
        <v>57738.7421875</v>
      </c>
      <c r="W19" s="4">
        <f t="shared" si="1"/>
        <v>274.89872487386066</v>
      </c>
      <c r="X19">
        <f t="shared" si="2"/>
        <v>69092.638020833328</v>
      </c>
      <c r="Y19" s="4">
        <f t="shared" ref="Y19" si="51">AVERAGE(P18:R18)</f>
        <v>54306.7421875</v>
      </c>
      <c r="Z19" s="4">
        <f t="shared" ref="Z19" si="52">AVERAGE(F57:H57)</f>
        <v>-121.39949671427409</v>
      </c>
      <c r="AA19" s="4">
        <f t="shared" si="5"/>
        <v>-121.39949671427409</v>
      </c>
      <c r="AB19" s="4">
        <f t="shared" si="6"/>
        <v>425.97980753580731</v>
      </c>
      <c r="AC19" s="4">
        <f t="shared" si="7"/>
        <v>-331.80482482910156</v>
      </c>
    </row>
    <row r="20" spans="1:29" x14ac:dyDescent="0.2">
      <c r="A20" s="1">
        <v>75633.9296875</v>
      </c>
      <c r="B20" s="1">
        <v>140653.5625</v>
      </c>
      <c r="C20" s="1">
        <v>161636.921875</v>
      </c>
      <c r="F20" s="1">
        <v>-124.62803649902344</v>
      </c>
      <c r="G20" s="1">
        <v>281.18759155273438</v>
      </c>
      <c r="H20" s="1">
        <v>2270.782958984375</v>
      </c>
      <c r="K20" s="1">
        <v>120472.5546875</v>
      </c>
      <c r="L20" s="1">
        <v>127333.640625</v>
      </c>
      <c r="M20" s="1">
        <v>118187.609375</v>
      </c>
      <c r="P20" s="1">
        <v>80859.421875</v>
      </c>
      <c r="Q20" s="1">
        <v>108010</v>
      </c>
      <c r="R20" s="1">
        <v>107782.84375</v>
      </c>
      <c r="U20" s="3">
        <v>19</v>
      </c>
      <c r="V20" s="4">
        <f t="shared" ref="V20" si="53">AVERAGE(A19:C19)</f>
        <v>89191.876302083328</v>
      </c>
      <c r="W20" s="4">
        <f t="shared" si="1"/>
        <v>366.98887125651044</v>
      </c>
      <c r="X20">
        <f t="shared" si="2"/>
        <v>94504.182291666672</v>
      </c>
      <c r="Y20">
        <f t="shared" ref="Y20" si="54">AVERAGEA(P19:R19)</f>
        <v>75499.524739583328</v>
      </c>
      <c r="Z20" s="4">
        <f t="shared" ref="Z20" si="55">AVERAGE(A58:C58)</f>
        <v>916.47419865926111</v>
      </c>
      <c r="AA20" s="4">
        <f t="shared" si="5"/>
        <v>-41.961102803548179</v>
      </c>
      <c r="AB20" s="4">
        <f t="shared" si="6"/>
        <v>868.207265218099</v>
      </c>
      <c r="AC20" s="4">
        <f t="shared" si="7"/>
        <v>-232.34535725911459</v>
      </c>
    </row>
    <row r="21" spans="1:29" x14ac:dyDescent="0.2">
      <c r="A21" s="1">
        <v>98991.6875</v>
      </c>
      <c r="B21" s="1">
        <v>183030.625</v>
      </c>
      <c r="C21" s="1">
        <v>215284.765625</v>
      </c>
      <c r="F21" s="1">
        <v>-125.01474761962891</v>
      </c>
      <c r="G21" s="1">
        <v>126.96565246582031</v>
      </c>
      <c r="H21" s="1">
        <v>4071.947265625</v>
      </c>
      <c r="K21" s="1">
        <v>148187.625</v>
      </c>
      <c r="L21" s="1">
        <v>155289.390625</v>
      </c>
      <c r="M21" s="1">
        <v>146740.15625</v>
      </c>
      <c r="P21" s="1">
        <v>102809.3984375</v>
      </c>
      <c r="Q21" s="1">
        <v>133505.484375</v>
      </c>
      <c r="R21" s="1">
        <v>132733</v>
      </c>
      <c r="U21" s="3">
        <v>20</v>
      </c>
      <c r="V21">
        <f t="shared" ref="V21" si="56">AVERAGEA(A20:C20)</f>
        <v>125974.8046875</v>
      </c>
      <c r="W21" s="4">
        <f t="shared" si="1"/>
        <v>809.11417134602868</v>
      </c>
      <c r="X21">
        <f t="shared" si="2"/>
        <v>121997.93489583333</v>
      </c>
      <c r="Y21" s="4">
        <f t="shared" ref="Y21" si="57">AVERAGE(P20:R20)</f>
        <v>98884.088541666672</v>
      </c>
      <c r="Z21" s="4">
        <f t="shared" ref="Z21" si="58">AVERAGE(F59:H59)</f>
        <v>-72.328694661458329</v>
      </c>
      <c r="AA21" s="4">
        <f t="shared" si="5"/>
        <v>-72.328694661458329</v>
      </c>
      <c r="AB21" s="4">
        <f t="shared" si="6"/>
        <v>1392.299336751302</v>
      </c>
      <c r="AC21" s="4">
        <f t="shared" si="7"/>
        <v>663.26513671875</v>
      </c>
    </row>
    <row r="22" spans="1:29" x14ac:dyDescent="0.2">
      <c r="A22" s="1">
        <v>125153.390625</v>
      </c>
      <c r="B22" s="1">
        <v>225999.71875</v>
      </c>
      <c r="C22" s="1">
        <v>269528.40625</v>
      </c>
      <c r="F22" s="1">
        <v>-59.331150054931641</v>
      </c>
      <c r="G22" s="1">
        <v>-368.55316162109375</v>
      </c>
      <c r="H22" s="1">
        <v>6055.779296875</v>
      </c>
      <c r="K22" s="1">
        <v>175825.640625</v>
      </c>
      <c r="L22" s="1">
        <v>183877.90625</v>
      </c>
      <c r="M22" s="1">
        <v>174592.078125</v>
      </c>
      <c r="P22" s="1">
        <v>125648.1953125</v>
      </c>
      <c r="Q22" s="1">
        <v>157922.78125</v>
      </c>
      <c r="R22" s="1">
        <v>156164.71875</v>
      </c>
      <c r="U22" s="3">
        <v>21</v>
      </c>
      <c r="V22" s="4">
        <f t="shared" ref="V22" si="59">AVERAGE(A21:C21)</f>
        <v>165769.02604166666</v>
      </c>
      <c r="W22" s="4">
        <f t="shared" si="1"/>
        <v>1357.9660568237305</v>
      </c>
      <c r="X22">
        <f t="shared" si="2"/>
        <v>150072.390625</v>
      </c>
      <c r="Y22">
        <f t="shared" ref="Y22" si="60">AVERAGEA(P21:R21)</f>
        <v>123015.9609375</v>
      </c>
      <c r="Z22" s="4">
        <f t="shared" ref="Z22" si="61">AVERAGE(A60:C60)</f>
        <v>2031.3786214192708</v>
      </c>
      <c r="AA22" s="4">
        <f t="shared" si="5"/>
        <v>-274.05435180664062</v>
      </c>
      <c r="AB22" s="4">
        <f t="shared" si="6"/>
        <v>2212.93310546875</v>
      </c>
      <c r="AC22" s="4">
        <f t="shared" si="7"/>
        <v>2148.8548583984375</v>
      </c>
    </row>
    <row r="23" spans="1:29" x14ac:dyDescent="0.2">
      <c r="A23" s="1">
        <v>150947.875</v>
      </c>
      <c r="B23" s="1">
        <v>268133.28125</v>
      </c>
      <c r="C23" s="1">
        <v>323067</v>
      </c>
      <c r="F23" s="1">
        <v>103.28604125976562</v>
      </c>
      <c r="G23" s="1">
        <v>-479.68136596679688</v>
      </c>
      <c r="H23" s="1">
        <v>9154.001953125</v>
      </c>
      <c r="K23" s="1">
        <v>202778.65625</v>
      </c>
      <c r="L23" s="1">
        <v>212501.09375</v>
      </c>
      <c r="M23" s="1">
        <v>202859.21875</v>
      </c>
      <c r="P23" s="1">
        <v>148283.171875</v>
      </c>
      <c r="Q23" s="1">
        <v>181783.78125</v>
      </c>
      <c r="R23" s="1">
        <v>178681.234375</v>
      </c>
      <c r="U23" s="3">
        <v>22</v>
      </c>
      <c r="V23">
        <f t="shared" ref="V23" si="62">AVERAGEA(A22:C22)</f>
        <v>206893.83854166666</v>
      </c>
      <c r="W23" s="4">
        <f t="shared" si="1"/>
        <v>1875.9649950663249</v>
      </c>
      <c r="X23">
        <f t="shared" si="2"/>
        <v>178098.54166666666</v>
      </c>
      <c r="Y23" s="4">
        <f t="shared" ref="Y23" si="63">AVERAGE(P22:R22)</f>
        <v>146578.56510416666</v>
      </c>
      <c r="Z23" s="4">
        <f t="shared" ref="Z23" si="64">AVERAGE(F61:H61)</f>
        <v>-331.84772237141925</v>
      </c>
      <c r="AA23" s="4">
        <f t="shared" si="5"/>
        <v>-331.84772237141925</v>
      </c>
      <c r="AB23" s="4">
        <f t="shared" si="6"/>
        <v>3104.0721028645835</v>
      </c>
      <c r="AC23" s="4">
        <f t="shared" si="7"/>
        <v>5256.4990234375</v>
      </c>
    </row>
    <row r="24" spans="1:29" x14ac:dyDescent="0.2">
      <c r="A24" s="1">
        <v>176161.4375</v>
      </c>
      <c r="B24" s="1">
        <v>309285.15625</v>
      </c>
      <c r="C24" s="1">
        <v>373136.65625</v>
      </c>
      <c r="F24" s="1">
        <v>164.93057250976562</v>
      </c>
      <c r="G24" s="1">
        <v>34.815444946289062</v>
      </c>
      <c r="H24" s="1">
        <v>12932.115234375</v>
      </c>
      <c r="K24" s="1">
        <v>228530.890625</v>
      </c>
      <c r="L24" s="1">
        <v>240683.671875</v>
      </c>
      <c r="M24" s="1">
        <v>229718.140625</v>
      </c>
      <c r="P24" s="1">
        <v>170388.953125</v>
      </c>
      <c r="Q24" s="1">
        <v>204148.828125</v>
      </c>
      <c r="R24" s="1">
        <v>201139.640625</v>
      </c>
      <c r="U24" s="3">
        <v>23</v>
      </c>
      <c r="V24" s="4">
        <f t="shared" ref="V24" si="65">AVERAGE(A23:C23)</f>
        <v>247382.71875</v>
      </c>
      <c r="W24" s="4">
        <f t="shared" si="1"/>
        <v>2925.8688761393228</v>
      </c>
      <c r="X24">
        <f t="shared" si="2"/>
        <v>206046.32291666666</v>
      </c>
      <c r="Y24">
        <f t="shared" ref="Y24" si="66">AVERAGEA(P23:R23)</f>
        <v>169582.72916666666</v>
      </c>
      <c r="Z24" s="4">
        <f t="shared" ref="Z24" si="67">AVERAGE(A62:C62)</f>
        <v>5489.43408203125</v>
      </c>
      <c r="AA24" s="4">
        <f t="shared" si="5"/>
        <v>-261.86897150675458</v>
      </c>
      <c r="AB24" s="4">
        <f t="shared" si="6"/>
        <v>4356.872395833333</v>
      </c>
      <c r="AC24" s="4">
        <f t="shared" si="7"/>
        <v>10516.614583333334</v>
      </c>
    </row>
    <row r="25" spans="1:29" x14ac:dyDescent="0.2">
      <c r="A25" s="1">
        <v>201567.953125</v>
      </c>
      <c r="B25" s="1">
        <v>347896.5625</v>
      </c>
      <c r="C25" s="1">
        <v>419008.34375</v>
      </c>
      <c r="F25" s="1">
        <v>207.09463500976562</v>
      </c>
      <c r="G25" s="1">
        <v>219.788818359375</v>
      </c>
      <c r="H25" s="1">
        <v>18325.322265625</v>
      </c>
      <c r="K25" s="1">
        <v>251917.09375</v>
      </c>
      <c r="L25" s="1">
        <v>266931.875</v>
      </c>
      <c r="M25" s="1">
        <v>254686.8125</v>
      </c>
      <c r="P25" s="1">
        <v>192472.515625</v>
      </c>
      <c r="Q25" s="1">
        <v>225699.03125</v>
      </c>
      <c r="R25" s="1">
        <v>222192.46875</v>
      </c>
      <c r="U25" s="3">
        <v>24</v>
      </c>
      <c r="V25">
        <f t="shared" ref="V25" si="68">AVERAGEA(A24:C24)</f>
        <v>286194.41666666669</v>
      </c>
      <c r="W25" s="4">
        <f t="shared" si="1"/>
        <v>4377.2870839436846</v>
      </c>
      <c r="X25">
        <f t="shared" si="2"/>
        <v>232977.56770833334</v>
      </c>
      <c r="Y25" s="4">
        <f t="shared" ref="Y25" si="69">AVERAGE(P24:R24)</f>
        <v>191892.47395833334</v>
      </c>
      <c r="Z25" s="4">
        <f t="shared" ref="Z25" si="70">AVERAGE(F63:H63)</f>
        <v>-320.29645792643231</v>
      </c>
      <c r="AA25" s="4">
        <f t="shared" si="5"/>
        <v>-320.29645792643231</v>
      </c>
      <c r="AB25" s="4">
        <f t="shared" si="6"/>
        <v>6612.074055989583</v>
      </c>
      <c r="AC25" s="4">
        <f t="shared" si="7"/>
        <v>19652.46484375</v>
      </c>
    </row>
    <row r="26" spans="1:29" x14ac:dyDescent="0.2">
      <c r="A26" s="1">
        <v>224109.9375</v>
      </c>
      <c r="B26" s="1">
        <v>381787.875</v>
      </c>
      <c r="C26" s="1">
        <v>461236.15625</v>
      </c>
      <c r="F26" s="1">
        <v>291.83291625976562</v>
      </c>
      <c r="G26" s="1">
        <v>497.40280151367188</v>
      </c>
      <c r="H26" s="1">
        <v>25587.701171875</v>
      </c>
      <c r="K26" s="1">
        <v>273398.0625</v>
      </c>
      <c r="L26" s="1">
        <v>291666.40625</v>
      </c>
      <c r="M26" s="1">
        <v>279092.53125</v>
      </c>
      <c r="P26" s="1">
        <v>213278.625</v>
      </c>
      <c r="Q26" s="1">
        <v>245156.546875</v>
      </c>
      <c r="R26" s="1">
        <v>241857.234375</v>
      </c>
      <c r="U26" s="3">
        <v>25</v>
      </c>
      <c r="V26" s="4">
        <f t="shared" ref="V26" si="71">AVERAGE(A25:C25)</f>
        <v>322824.28645833331</v>
      </c>
      <c r="W26" s="4">
        <f t="shared" si="1"/>
        <v>6250.7352396647138</v>
      </c>
      <c r="X26">
        <f t="shared" si="2"/>
        <v>257845.26041666666</v>
      </c>
      <c r="Y26">
        <f t="shared" ref="Y26" si="72">AVERAGEA(P25:R25)</f>
        <v>213454.671875</v>
      </c>
      <c r="Z26" s="4">
        <f t="shared" ref="Z26" si="73">AVERAGE(A64:C64)</f>
        <v>16261.7607421875</v>
      </c>
      <c r="AA26" s="4">
        <f t="shared" si="5"/>
        <v>-249.58070373535156</v>
      </c>
      <c r="AB26" s="4">
        <f t="shared" si="6"/>
        <v>10696.202799479166</v>
      </c>
      <c r="AC26" s="4">
        <f t="shared" si="7"/>
        <v>34215.585286458336</v>
      </c>
    </row>
    <row r="27" spans="1:29" x14ac:dyDescent="0.2">
      <c r="A27" s="1">
        <v>245875.84375</v>
      </c>
      <c r="B27" s="1">
        <v>414373.65625</v>
      </c>
      <c r="C27" s="1">
        <v>499786.90625</v>
      </c>
      <c r="F27" s="1">
        <v>550.50091552734375</v>
      </c>
      <c r="G27" s="1">
        <v>155.54023742675781</v>
      </c>
      <c r="H27" s="1">
        <v>35227.95703125</v>
      </c>
      <c r="K27" s="1">
        <v>294110.9375</v>
      </c>
      <c r="L27" s="1">
        <v>314468.75</v>
      </c>
      <c r="M27" s="1">
        <v>302123.84375</v>
      </c>
      <c r="P27" s="1">
        <v>233632.78125</v>
      </c>
      <c r="Q27" s="1">
        <v>262598.625</v>
      </c>
      <c r="R27" s="1">
        <v>260514.03125</v>
      </c>
      <c r="U27" s="3">
        <v>26</v>
      </c>
      <c r="V27">
        <f t="shared" ref="V27" si="74">AVERAGEA(A26:C26)</f>
        <v>355711.32291666669</v>
      </c>
      <c r="W27" s="4">
        <f t="shared" si="1"/>
        <v>8792.3122965494786</v>
      </c>
      <c r="X27">
        <f t="shared" si="2"/>
        <v>281385.66666666669</v>
      </c>
      <c r="Y27" s="4">
        <f t="shared" ref="Y27" si="75">AVERAGE(P26:R26)</f>
        <v>233430.80208333334</v>
      </c>
      <c r="Z27" s="4">
        <f t="shared" ref="Z27" si="76">AVERAGE(F65:H65)</f>
        <v>-21.571996291478474</v>
      </c>
      <c r="AA27" s="4">
        <f t="shared" si="5"/>
        <v>-21.571996291478474</v>
      </c>
      <c r="AB27" s="4">
        <f t="shared" si="6"/>
        <v>17179.039388020832</v>
      </c>
      <c r="AC27" s="4">
        <f t="shared" si="7"/>
        <v>53857.178385416664</v>
      </c>
    </row>
    <row r="28" spans="1:29" x14ac:dyDescent="0.2">
      <c r="A28" s="1">
        <v>265599.75</v>
      </c>
      <c r="B28" s="1">
        <v>443596.71875</v>
      </c>
      <c r="C28" s="1">
        <v>534801.875</v>
      </c>
      <c r="F28" s="1">
        <v>799.86419677734375</v>
      </c>
      <c r="G28" s="1">
        <v>-106.33013916015625</v>
      </c>
      <c r="H28" s="1">
        <v>47615.5390625</v>
      </c>
      <c r="K28" s="1">
        <v>313604.34375</v>
      </c>
      <c r="L28" s="1">
        <v>336959.90625</v>
      </c>
      <c r="M28" s="1">
        <v>323230.375</v>
      </c>
      <c r="P28" s="1">
        <v>253352.0625</v>
      </c>
      <c r="Q28" s="1">
        <v>279092.8125</v>
      </c>
      <c r="R28" s="1">
        <v>277526.03125</v>
      </c>
      <c r="U28" s="3">
        <v>27</v>
      </c>
      <c r="V28" s="4">
        <f t="shared" ref="V28" si="77">AVERAGE(A27:C27)</f>
        <v>386678.80208333331</v>
      </c>
      <c r="W28" s="4">
        <f t="shared" si="1"/>
        <v>11977.999394734701</v>
      </c>
      <c r="X28">
        <f t="shared" si="2"/>
        <v>303567.84375</v>
      </c>
      <c r="Y28">
        <f t="shared" ref="Y28" si="78">AVERAGEA(P27:R27)</f>
        <v>252248.47916666666</v>
      </c>
      <c r="Z28" s="4">
        <f t="shared" ref="Z28" si="79">AVERAGE(A66:C66)</f>
        <v>48335.3359375</v>
      </c>
      <c r="AA28" s="4">
        <f t="shared" si="5"/>
        <v>85.918482462565109</v>
      </c>
      <c r="AB28" s="4">
        <f t="shared" si="6"/>
        <v>27459.063802083332</v>
      </c>
      <c r="AC28" s="4">
        <f t="shared" si="7"/>
        <v>77798.513020833328</v>
      </c>
    </row>
    <row r="29" spans="1:29" x14ac:dyDescent="0.2">
      <c r="A29" s="1">
        <v>284034.96875</v>
      </c>
      <c r="B29" s="1">
        <v>469893.875</v>
      </c>
      <c r="C29" s="1">
        <v>567688.5625</v>
      </c>
      <c r="F29" s="1">
        <v>1007.4462280273438</v>
      </c>
      <c r="G29" s="1">
        <v>-256.87240600585938</v>
      </c>
      <c r="H29" s="1">
        <v>62874.03515625</v>
      </c>
      <c r="K29" s="1">
        <v>330934.21875</v>
      </c>
      <c r="L29" s="1">
        <v>356966.6875</v>
      </c>
      <c r="M29" s="1">
        <v>343097.21875</v>
      </c>
      <c r="P29" s="1">
        <v>270965.78125</v>
      </c>
      <c r="Q29" s="1">
        <v>293930.59375</v>
      </c>
      <c r="R29" s="1">
        <v>293489.40625</v>
      </c>
      <c r="U29" s="3">
        <v>28</v>
      </c>
      <c r="V29">
        <f t="shared" ref="V29" si="80">AVERAGEA(A28:C28)</f>
        <v>414666.11458333331</v>
      </c>
      <c r="W29" s="4">
        <f t="shared" si="1"/>
        <v>16103.024373372396</v>
      </c>
      <c r="X29">
        <f t="shared" si="2"/>
        <v>324598.20833333331</v>
      </c>
      <c r="Y29" s="4">
        <f t="shared" ref="Y29" si="81">AVERAGE(P28:R28)</f>
        <v>269990.30208333331</v>
      </c>
      <c r="Z29" s="4">
        <f t="shared" ref="Z29" si="82">AVERAGE(F67:H67)</f>
        <v>124.52745501200359</v>
      </c>
      <c r="AA29" s="4">
        <f t="shared" si="5"/>
        <v>124.52745501200359</v>
      </c>
      <c r="AB29" s="4">
        <f t="shared" si="6"/>
        <v>42540.75</v>
      </c>
      <c r="AC29" s="4">
        <f t="shared" si="7"/>
        <v>104978.8984375</v>
      </c>
    </row>
    <row r="30" spans="1:29" x14ac:dyDescent="0.2">
      <c r="A30" s="1">
        <v>301291.53125</v>
      </c>
      <c r="B30" s="1">
        <v>494534.96875</v>
      </c>
      <c r="C30" s="1">
        <v>597751.25</v>
      </c>
      <c r="F30" s="1">
        <v>1160.2391357421875</v>
      </c>
      <c r="G30" s="1">
        <v>-306.28964233398438</v>
      </c>
      <c r="H30" s="1">
        <v>80875.4765625</v>
      </c>
      <c r="K30" s="1">
        <v>346480.71875</v>
      </c>
      <c r="L30" s="1">
        <v>375831.125</v>
      </c>
      <c r="M30" s="1">
        <v>362315.625</v>
      </c>
      <c r="P30" s="1">
        <v>287367.25</v>
      </c>
      <c r="Q30" s="1">
        <v>308327.25</v>
      </c>
      <c r="R30" s="1">
        <v>308494.9375</v>
      </c>
      <c r="U30" s="3">
        <v>29</v>
      </c>
      <c r="V30" s="4">
        <f t="shared" ref="V30" si="83">AVERAGE(A29:C29)</f>
        <v>440539.13541666669</v>
      </c>
      <c r="W30" s="4">
        <f t="shared" si="1"/>
        <v>21208.20299275716</v>
      </c>
      <c r="X30">
        <f t="shared" si="2"/>
        <v>343666.04166666669</v>
      </c>
      <c r="Y30">
        <f t="shared" ref="Y30" si="84">AVERAGEA(P29:R29)</f>
        <v>286128.59375</v>
      </c>
      <c r="Z30" s="4">
        <f t="shared" ref="Z30" si="85">AVERAGE(A68:C68)</f>
        <v>116374.5859375</v>
      </c>
      <c r="AA30" s="4">
        <f t="shared" si="5"/>
        <v>204.61950174967447</v>
      </c>
      <c r="AB30" s="4">
        <f t="shared" si="6"/>
        <v>62146.26171875</v>
      </c>
      <c r="AC30" s="4">
        <f t="shared" si="7"/>
        <v>134513.83072916666</v>
      </c>
    </row>
    <row r="31" spans="1:29" x14ac:dyDescent="0.2">
      <c r="A31" s="1">
        <v>317691.25</v>
      </c>
      <c r="B31" s="1">
        <v>517286.5</v>
      </c>
      <c r="C31" s="1">
        <v>625782</v>
      </c>
      <c r="F31" s="1">
        <v>1209.0477294921875</v>
      </c>
      <c r="G31" s="1">
        <v>46.246219635009766</v>
      </c>
      <c r="H31" s="1">
        <v>101809.5234375</v>
      </c>
      <c r="K31" s="1">
        <v>361546.78125</v>
      </c>
      <c r="L31" s="1">
        <v>392827.9375</v>
      </c>
      <c r="M31" s="1">
        <v>378915.78125</v>
      </c>
      <c r="P31" s="1">
        <v>302010.375</v>
      </c>
      <c r="Q31" s="1">
        <v>321531.0625</v>
      </c>
      <c r="R31" s="1">
        <v>321749.875</v>
      </c>
      <c r="U31" s="3">
        <v>30</v>
      </c>
      <c r="V31">
        <f t="shared" ref="V31" si="86">AVERAGEA(A30:C30)</f>
        <v>464525.91666666669</v>
      </c>
      <c r="W31" s="4">
        <f t="shared" si="1"/>
        <v>27243.142018636066</v>
      </c>
      <c r="X31">
        <f t="shared" si="2"/>
        <v>361542.48958333331</v>
      </c>
      <c r="Y31" s="4">
        <f t="shared" ref="Y31" si="87">AVERAGE(P30:R30)</f>
        <v>301396.47916666669</v>
      </c>
      <c r="Z31" s="4">
        <f t="shared" ref="Z31" si="88">AVERAGE(F69:H69)</f>
        <v>143.414670308431</v>
      </c>
      <c r="AA31" s="4">
        <f t="shared" si="5"/>
        <v>143.414670308431</v>
      </c>
      <c r="AB31" s="4">
        <f t="shared" si="6"/>
        <v>85885.736979166672</v>
      </c>
      <c r="AC31" s="4">
        <f t="shared" si="7"/>
        <v>165072.20833333334</v>
      </c>
    </row>
    <row r="32" spans="1:29" x14ac:dyDescent="0.2">
      <c r="A32" s="1">
        <v>333254.4375</v>
      </c>
      <c r="B32" s="1">
        <v>537905.9375</v>
      </c>
      <c r="C32" s="1">
        <v>650577.125</v>
      </c>
      <c r="F32" s="1">
        <v>1000.1376342773438</v>
      </c>
      <c r="G32" s="1">
        <v>-97.374160766601562</v>
      </c>
      <c r="H32" s="1">
        <v>126042.84375</v>
      </c>
      <c r="K32" s="1">
        <v>376358.28125</v>
      </c>
      <c r="L32" s="1">
        <v>408894.71875</v>
      </c>
      <c r="M32" s="1">
        <v>394785.21875</v>
      </c>
      <c r="P32" s="1">
        <v>315803.84375</v>
      </c>
      <c r="Q32" s="1">
        <v>332945.65625</v>
      </c>
      <c r="R32" s="1">
        <v>334441.65625</v>
      </c>
      <c r="U32" s="3">
        <v>31</v>
      </c>
      <c r="V32" s="4">
        <f t="shared" ref="V32" si="89">AVERAGE(A31:C31)</f>
        <v>486919.91666666669</v>
      </c>
      <c r="W32" s="4">
        <f t="shared" si="1"/>
        <v>34354.939128875732</v>
      </c>
      <c r="X32">
        <f t="shared" si="2"/>
        <v>377763.5</v>
      </c>
      <c r="Y32">
        <f t="shared" ref="Y32" si="90">AVERAGEA(P31:R31)</f>
        <v>315097.10416666669</v>
      </c>
      <c r="Z32" s="4">
        <f t="shared" ref="Z32" si="91">AVERAGE(A70:C70)</f>
        <v>208529.9375</v>
      </c>
      <c r="AA32" s="4">
        <f t="shared" si="5"/>
        <v>80.707232157389328</v>
      </c>
      <c r="AB32" s="4">
        <f t="shared" si="6"/>
        <v>112037.02083333333</v>
      </c>
      <c r="AC32" s="4">
        <f t="shared" si="7"/>
        <v>194792.86458333334</v>
      </c>
    </row>
    <row r="33" spans="1:29" x14ac:dyDescent="0.2">
      <c r="A33" s="1">
        <v>347232.625</v>
      </c>
      <c r="B33" s="1">
        <v>557585.4375</v>
      </c>
      <c r="C33" s="1">
        <v>672652.0625</v>
      </c>
      <c r="F33" s="1">
        <v>951.72747802734375</v>
      </c>
      <c r="G33" s="1">
        <v>-605.49456787109375</v>
      </c>
      <c r="H33" s="1">
        <v>152412.234375</v>
      </c>
      <c r="K33" s="1">
        <v>388493</v>
      </c>
      <c r="L33" s="1">
        <v>424589.03125</v>
      </c>
      <c r="M33" s="1">
        <v>410260.625</v>
      </c>
      <c r="P33" s="1">
        <v>328732.84375</v>
      </c>
      <c r="Q33" s="1">
        <v>343538.5</v>
      </c>
      <c r="R33" s="1">
        <v>345873.65625</v>
      </c>
      <c r="U33" s="3">
        <v>32</v>
      </c>
      <c r="V33">
        <f t="shared" ref="V33" si="92">AVERAGEA(A32:C32)</f>
        <v>507245.83333333331</v>
      </c>
      <c r="W33" s="4">
        <f t="shared" si="1"/>
        <v>42315.202407836914</v>
      </c>
      <c r="X33">
        <f t="shared" si="2"/>
        <v>393346.07291666669</v>
      </c>
      <c r="Y33" s="4">
        <f t="shared" ref="Y33" si="93">AVERAGE(P32:R32)</f>
        <v>327730.38541666669</v>
      </c>
      <c r="Z33" s="4">
        <f t="shared" ref="Z33" si="94">AVERAGE(F71:H71)</f>
        <v>363.32402038574219</v>
      </c>
      <c r="AA33" s="4">
        <f t="shared" si="5"/>
        <v>363.32402038574219</v>
      </c>
      <c r="AB33" s="4">
        <f t="shared" si="6"/>
        <v>139880.64583333334</v>
      </c>
      <c r="AC33" s="4">
        <f t="shared" si="7"/>
        <v>223036.03645833334</v>
      </c>
    </row>
    <row r="34" spans="1:29" x14ac:dyDescent="0.2">
      <c r="A34" s="1">
        <v>358769.25</v>
      </c>
      <c r="B34" s="1">
        <v>574145</v>
      </c>
      <c r="C34" s="1">
        <v>692775.4375</v>
      </c>
      <c r="F34" s="1">
        <v>1074.7548828125</v>
      </c>
      <c r="G34" s="1">
        <v>-586.73992919921875</v>
      </c>
      <c r="H34" s="1">
        <v>180361.515625</v>
      </c>
      <c r="K34" s="1">
        <v>400528.46875</v>
      </c>
      <c r="L34" s="1">
        <v>439756.125</v>
      </c>
      <c r="M34" s="1">
        <v>424772.0625</v>
      </c>
      <c r="P34" s="1">
        <v>339343.03125</v>
      </c>
      <c r="Q34" s="1">
        <v>354081.09375</v>
      </c>
      <c r="R34" s="1">
        <v>357156.21875</v>
      </c>
      <c r="U34" s="3">
        <v>33</v>
      </c>
      <c r="V34" s="4">
        <f t="shared" ref="V34" si="95">AVERAGE(A33:C33)</f>
        <v>525823.375</v>
      </c>
      <c r="W34" s="4">
        <f t="shared" si="1"/>
        <v>50919.489095052086</v>
      </c>
      <c r="X34">
        <f t="shared" si="2"/>
        <v>407780.88541666669</v>
      </c>
      <c r="Y34">
        <f t="shared" ref="Y34" si="96">AVERAGEA(P33:R33)</f>
        <v>339381.66666666669</v>
      </c>
      <c r="Z34" s="4">
        <f t="shared" ref="Z34" si="97">AVERAGE(A72:C72)</f>
        <v>302192.41666666669</v>
      </c>
      <c r="AA34" s="4">
        <f t="shared" si="5"/>
        <v>598.40045166015625</v>
      </c>
      <c r="AB34" s="4">
        <f t="shared" si="6"/>
        <v>168441.27604166666</v>
      </c>
      <c r="AC34" s="4">
        <f t="shared" si="7"/>
        <v>249823.50520833334</v>
      </c>
    </row>
    <row r="35" spans="1:29" x14ac:dyDescent="0.2">
      <c r="A35" s="1">
        <v>369307.90625</v>
      </c>
      <c r="B35" s="1">
        <v>587318.8125</v>
      </c>
      <c r="C35" s="1">
        <v>707994.4375</v>
      </c>
      <c r="F35" s="1">
        <v>1524.3369140625</v>
      </c>
      <c r="G35" s="1">
        <v>418.36627197265625</v>
      </c>
      <c r="H35" s="1">
        <v>204799.078125</v>
      </c>
      <c r="K35" s="1">
        <v>409883.28125</v>
      </c>
      <c r="L35" s="1">
        <v>451671.84375</v>
      </c>
      <c r="M35" s="1">
        <v>436215.28125</v>
      </c>
      <c r="P35" s="1">
        <v>348398.28125</v>
      </c>
      <c r="Q35" s="1">
        <v>361485.875</v>
      </c>
      <c r="R35" s="1">
        <v>366566.375</v>
      </c>
      <c r="U35" s="3">
        <v>34</v>
      </c>
      <c r="V35">
        <f t="shared" ref="V35" si="98">AVERAGEA(A34:C34)</f>
        <v>541896.5625</v>
      </c>
      <c r="W35" s="4">
        <f t="shared" si="1"/>
        <v>60283.176859537758</v>
      </c>
      <c r="X35">
        <f t="shared" si="2"/>
        <v>421685.55208333331</v>
      </c>
      <c r="Y35" s="4">
        <f t="shared" ref="Y35" si="99">AVERAGE(P34:R34)</f>
        <v>350193.44791666669</v>
      </c>
      <c r="Z35" s="4">
        <f t="shared" ref="Z35" si="100">AVERAGE(F73:H73)</f>
        <v>501.35704739888507</v>
      </c>
      <c r="AA35" s="4">
        <f t="shared" si="5"/>
        <v>501.35704739888507</v>
      </c>
      <c r="AB35" s="4">
        <f t="shared" si="6"/>
        <v>197197.83854166666</v>
      </c>
      <c r="AC35" s="4">
        <f t="shared" si="7"/>
        <v>275013.57291666669</v>
      </c>
    </row>
    <row r="36" spans="1:29" x14ac:dyDescent="0.2">
      <c r="U36" s="3">
        <v>35</v>
      </c>
      <c r="V36" s="4">
        <f t="shared" ref="V36" si="101">AVERAGE(A35:C35)</f>
        <v>554873.71875</v>
      </c>
      <c r="W36" s="4">
        <f t="shared" si="1"/>
        <v>68913.92710367839</v>
      </c>
      <c r="X36">
        <f t="shared" si="2"/>
        <v>432590.13541666669</v>
      </c>
      <c r="Y36">
        <f t="shared" ref="Y36" si="102">AVERAGEA(P35:R35)</f>
        <v>358816.84375</v>
      </c>
      <c r="Z36" s="4">
        <f t="shared" ref="Z36" si="103">AVERAGE(A74:C74)</f>
        <v>381186.875</v>
      </c>
      <c r="AA36" s="4">
        <f t="shared" si="5"/>
        <v>599.02200380961096</v>
      </c>
      <c r="AB36" s="4">
        <f t="shared" si="6"/>
        <v>220899.84895833334</v>
      </c>
      <c r="AC36" s="4">
        <f t="shared" si="7"/>
        <v>295501.41666666669</v>
      </c>
    </row>
    <row r="40" spans="1:29" x14ac:dyDescent="0.2">
      <c r="A40" s="1">
        <v>1039.87158203125</v>
      </c>
      <c r="B40" s="1">
        <v>-611.52362060546875</v>
      </c>
      <c r="C40" s="1">
        <v>-486.03182983398438</v>
      </c>
      <c r="F40" s="1">
        <v>766.671875</v>
      </c>
      <c r="G40" s="1">
        <v>446.80322265625</v>
      </c>
      <c r="H40" s="1">
        <v>2899.526611328125</v>
      </c>
      <c r="K40" s="1">
        <v>-1114.010498046875</v>
      </c>
      <c r="L40" s="1">
        <v>-578.70721435546875</v>
      </c>
      <c r="M40" s="1">
        <v>1177.3834228515625</v>
      </c>
      <c r="P40" s="1">
        <v>-5824.37646484375</v>
      </c>
      <c r="Q40" s="1">
        <v>-16.062728881835938</v>
      </c>
      <c r="R40" s="1">
        <v>1447.6324462890625</v>
      </c>
    </row>
    <row r="41" spans="1:29" x14ac:dyDescent="0.2">
      <c r="A41" s="1">
        <v>1144.4315185546875</v>
      </c>
      <c r="B41" s="1">
        <v>-326.06524658203125</v>
      </c>
      <c r="C41" s="1">
        <v>-355.560791015625</v>
      </c>
      <c r="F41" s="1">
        <v>687.11431884765625</v>
      </c>
      <c r="G41" s="1">
        <v>514.95697021484375</v>
      </c>
      <c r="H41" s="1">
        <v>2739.85498046875</v>
      </c>
      <c r="K41" s="1">
        <v>-11.867959976196289</v>
      </c>
      <c r="L41" s="1">
        <v>455.361328125</v>
      </c>
      <c r="M41" s="1">
        <v>1612.8704833984375</v>
      </c>
      <c r="P41" s="1">
        <v>-4578.57421875</v>
      </c>
      <c r="Q41" s="1">
        <v>162.4365234375</v>
      </c>
      <c r="R41" s="1">
        <v>1263.87353515625</v>
      </c>
    </row>
    <row r="42" spans="1:29" x14ac:dyDescent="0.2">
      <c r="A42" s="1">
        <v>988.28839111328125</v>
      </c>
      <c r="B42" s="1">
        <v>26.455652236938477</v>
      </c>
      <c r="C42" s="1">
        <v>-338.6365966796875</v>
      </c>
      <c r="F42" s="1">
        <v>426.05282592773438</v>
      </c>
      <c r="G42" s="1">
        <v>453.92327880859375</v>
      </c>
      <c r="H42" s="1">
        <v>1670.3787841796875</v>
      </c>
      <c r="K42" s="1">
        <v>-68.600448608398438</v>
      </c>
      <c r="L42" s="1">
        <v>220.41421508789062</v>
      </c>
      <c r="M42" s="1">
        <v>866.98260498046875</v>
      </c>
      <c r="P42" s="1">
        <v>-2359.131591796875</v>
      </c>
      <c r="Q42" s="1">
        <v>-407.728271484375</v>
      </c>
      <c r="R42" s="1">
        <v>197.36457824707031</v>
      </c>
    </row>
    <row r="43" spans="1:29" x14ac:dyDescent="0.2">
      <c r="A43" s="1">
        <v>495.239013671875</v>
      </c>
      <c r="B43" s="1">
        <v>111.78903961181641</v>
      </c>
      <c r="C43" s="1">
        <v>-306.75930786132812</v>
      </c>
      <c r="F43" s="1">
        <v>322.0343017578125</v>
      </c>
      <c r="G43" s="1">
        <v>489.45205688476562</v>
      </c>
      <c r="H43" s="1">
        <v>1112.6837158203125</v>
      </c>
      <c r="K43" s="1">
        <v>-71.317306518554688</v>
      </c>
      <c r="L43" s="1">
        <v>308.38897705078125</v>
      </c>
      <c r="M43" s="1">
        <v>951.01654052734375</v>
      </c>
      <c r="P43" s="1">
        <v>-1864.14208984375</v>
      </c>
      <c r="Q43" s="1">
        <v>-313.81497192382812</v>
      </c>
      <c r="R43" s="1">
        <v>244.34002685546875</v>
      </c>
    </row>
    <row r="44" spans="1:29" x14ac:dyDescent="0.2">
      <c r="A44" s="1">
        <v>269.73651123046875</v>
      </c>
      <c r="B44" s="1">
        <v>-47.455699920654297</v>
      </c>
      <c r="C44" s="1">
        <v>-120.42887878417969</v>
      </c>
      <c r="F44" s="1">
        <v>261.09393310546875</v>
      </c>
      <c r="G44" s="1">
        <v>324.9495849609375</v>
      </c>
      <c r="H44" s="1">
        <v>580.76983642578125</v>
      </c>
      <c r="K44" s="1">
        <v>-298.5654296875</v>
      </c>
      <c r="L44" s="1">
        <v>667.05126953125</v>
      </c>
      <c r="M44" s="1">
        <v>-136.35580444335938</v>
      </c>
      <c r="P44" s="1">
        <v>523.331787109375</v>
      </c>
      <c r="Q44" s="1">
        <v>376.20773315429688</v>
      </c>
      <c r="R44" s="1">
        <v>618.67486572265625</v>
      </c>
    </row>
    <row r="45" spans="1:29" x14ac:dyDescent="0.2">
      <c r="A45" s="1">
        <v>-218.6878662109375</v>
      </c>
      <c r="B45" s="1">
        <v>-78.466064453125</v>
      </c>
      <c r="C45" s="1">
        <v>374.29217529296875</v>
      </c>
      <c r="F45" s="1">
        <v>-57.080841064453125</v>
      </c>
      <c r="G45" s="1">
        <v>275.39239501953125</v>
      </c>
      <c r="H45" s="1">
        <v>414.70761108398438</v>
      </c>
      <c r="K45" s="1">
        <v>-434.98541259765625</v>
      </c>
      <c r="L45" s="1">
        <v>996.0416259765625</v>
      </c>
      <c r="M45" s="1">
        <v>-361.83749389648438</v>
      </c>
      <c r="P45" s="1">
        <v>1241.5245361328125</v>
      </c>
      <c r="Q45" s="1">
        <v>322.69915771484375</v>
      </c>
      <c r="R45" s="1">
        <v>-167.80282592773438</v>
      </c>
    </row>
    <row r="46" spans="1:29" x14ac:dyDescent="0.2">
      <c r="A46" s="1">
        <v>-669.65911865234375</v>
      </c>
      <c r="B46" s="1">
        <v>-251.92955017089844</v>
      </c>
      <c r="C46" s="1">
        <v>426.62258911132812</v>
      </c>
      <c r="F46" s="1">
        <v>-158.59153747558594</v>
      </c>
      <c r="G46" s="1">
        <v>484.55398559570312</v>
      </c>
      <c r="H46" s="1">
        <v>416.54379272460938</v>
      </c>
      <c r="K46" s="1">
        <v>-39.811641693115234</v>
      </c>
      <c r="L46" s="1">
        <v>555.29766845703125</v>
      </c>
      <c r="M46" s="1">
        <v>-994.5692138671875</v>
      </c>
      <c r="P46" s="1">
        <v>2852.451416015625</v>
      </c>
      <c r="Q46" s="1">
        <v>327.51092529296875</v>
      </c>
      <c r="R46" s="1">
        <v>-614.811767578125</v>
      </c>
    </row>
    <row r="47" spans="1:29" x14ac:dyDescent="0.2">
      <c r="A47" s="1">
        <v>-573.59912109375</v>
      </c>
      <c r="B47" s="1">
        <v>-88.939910888671875</v>
      </c>
      <c r="C47" s="1">
        <v>-66.437606811523438</v>
      </c>
      <c r="F47" s="1">
        <v>-57.227241516113281</v>
      </c>
      <c r="G47" s="1">
        <v>275.520263671875</v>
      </c>
      <c r="H47" s="1">
        <v>360.15341186523438</v>
      </c>
      <c r="K47" s="1">
        <v>825.58087158203125</v>
      </c>
      <c r="L47" s="1">
        <v>-597.99322509765625</v>
      </c>
      <c r="M47" s="1">
        <v>-637.2384033203125</v>
      </c>
      <c r="P47" s="1">
        <v>-829.40264892578125</v>
      </c>
      <c r="Q47" s="1">
        <v>283.26797485351562</v>
      </c>
      <c r="R47" s="1">
        <v>-355.9456787109375</v>
      </c>
    </row>
    <row r="48" spans="1:29" x14ac:dyDescent="0.2">
      <c r="A48" s="1">
        <v>-202.78915405273438</v>
      </c>
      <c r="B48" s="1">
        <v>410.00283813476562</v>
      </c>
      <c r="C48" s="1">
        <v>56.580322265625</v>
      </c>
      <c r="F48" s="1">
        <v>-108.11685180664062</v>
      </c>
      <c r="G48" s="1">
        <v>-260.84158325195312</v>
      </c>
      <c r="H48" s="1">
        <v>207.20834350585938</v>
      </c>
      <c r="K48" s="1">
        <v>558.785888671875</v>
      </c>
      <c r="L48" s="1">
        <v>-928.2996826171875</v>
      </c>
      <c r="M48" s="1">
        <v>-633.1263427734375</v>
      </c>
      <c r="P48" s="1">
        <v>-2199.6162109375</v>
      </c>
      <c r="Q48" s="1">
        <v>-55.053077697753906</v>
      </c>
      <c r="R48" s="1">
        <v>123.48288726806641</v>
      </c>
    </row>
    <row r="49" spans="1:18" x14ac:dyDescent="0.2">
      <c r="A49" s="1">
        <v>-860.57293701171875</v>
      </c>
      <c r="B49" s="1">
        <v>392.74249267578125</v>
      </c>
      <c r="C49" s="1">
        <v>560.7857666015625</v>
      </c>
      <c r="F49" s="1">
        <v>-260.4088134765625</v>
      </c>
      <c r="G49" s="1">
        <v>-329.07061767578125</v>
      </c>
      <c r="H49" s="1">
        <v>-193.74453735351562</v>
      </c>
      <c r="K49" s="1">
        <v>-107.74347686767578</v>
      </c>
      <c r="L49" s="1">
        <v>-1402.137451171875</v>
      </c>
      <c r="M49" s="1">
        <v>-159.1549072265625</v>
      </c>
      <c r="P49" s="1">
        <v>-851.251708984375</v>
      </c>
      <c r="Q49" s="1">
        <v>-256.5147705078125</v>
      </c>
      <c r="R49" s="1">
        <v>-367.05728149414062</v>
      </c>
    </row>
    <row r="50" spans="1:18" x14ac:dyDescent="0.2">
      <c r="A50" s="1">
        <v>-764.387939453125</v>
      </c>
      <c r="B50" s="1">
        <v>278.23211669921875</v>
      </c>
      <c r="C50" s="1">
        <v>150.99118041992188</v>
      </c>
      <c r="F50" s="1">
        <v>-284.25933837890625</v>
      </c>
      <c r="G50" s="1">
        <v>-31.604351043701172</v>
      </c>
      <c r="H50" s="1">
        <v>-301.14273071289062</v>
      </c>
      <c r="K50" s="1">
        <v>-72.788459777832031</v>
      </c>
      <c r="L50" s="1">
        <v>-1058.7877197265625</v>
      </c>
      <c r="M50" s="1">
        <v>-321.8709716796875</v>
      </c>
      <c r="P50" s="1">
        <v>470.25347900390625</v>
      </c>
      <c r="Q50" s="1">
        <v>-97.726448059082031</v>
      </c>
      <c r="R50" s="1">
        <v>-297.58184814453125</v>
      </c>
    </row>
    <row r="51" spans="1:18" x14ac:dyDescent="0.2">
      <c r="A51" s="1">
        <v>56.312686920166016</v>
      </c>
      <c r="B51" s="1">
        <v>-351.12197875976562</v>
      </c>
      <c r="C51" s="1">
        <v>-114.24089813232422</v>
      </c>
      <c r="F51" s="1">
        <v>-69.086448669433594</v>
      </c>
      <c r="G51" s="1">
        <v>-310.81777954101562</v>
      </c>
      <c r="H51" s="1">
        <v>-349.95498657226562</v>
      </c>
      <c r="K51" s="1">
        <v>-153.20845031738281</v>
      </c>
      <c r="L51" s="1">
        <v>-202.93792724609375</v>
      </c>
      <c r="M51" s="1">
        <v>290.88168334960938</v>
      </c>
      <c r="P51" s="1">
        <v>686.5555419921875</v>
      </c>
      <c r="Q51" s="1">
        <v>134.45249938964844</v>
      </c>
      <c r="R51" s="1">
        <v>-60.793899536132812</v>
      </c>
    </row>
    <row r="52" spans="1:18" x14ac:dyDescent="0.2">
      <c r="A52" s="1">
        <v>276.4351806640625</v>
      </c>
      <c r="B52" s="1">
        <v>-412.30422973632812</v>
      </c>
      <c r="C52" s="1">
        <v>-424.59796142578125</v>
      </c>
      <c r="F52" s="1">
        <v>131.67237854003906</v>
      </c>
      <c r="G52" s="1">
        <v>-441.67181396484375</v>
      </c>
      <c r="H52" s="1">
        <v>-781.7672119140625</v>
      </c>
      <c r="K52" s="1">
        <v>141.35594177246094</v>
      </c>
      <c r="L52" s="1">
        <v>291.92745971679688</v>
      </c>
      <c r="M52" s="1">
        <v>455.25936889648438</v>
      </c>
      <c r="P52" s="1">
        <v>2760.217041015625</v>
      </c>
      <c r="Q52" s="1">
        <v>-369.68887329101562</v>
      </c>
      <c r="R52" s="1">
        <v>205.47842407226562</v>
      </c>
    </row>
    <row r="53" spans="1:18" x14ac:dyDescent="0.2">
      <c r="A53" s="1">
        <v>232.37016296386719</v>
      </c>
      <c r="B53" s="1">
        <v>-456.68960571289062</v>
      </c>
      <c r="C53" s="1">
        <v>-250.18942260742188</v>
      </c>
      <c r="F53" s="1">
        <v>88.51324462890625</v>
      </c>
      <c r="G53" s="1">
        <v>-476.21334838867188</v>
      </c>
      <c r="H53" s="1">
        <v>-1259.2279052734375</v>
      </c>
      <c r="K53" s="1">
        <v>341.88906860351562</v>
      </c>
      <c r="L53" s="1">
        <v>-313.2071533203125</v>
      </c>
      <c r="M53" s="1">
        <v>188.44955444335938</v>
      </c>
      <c r="P53" s="1">
        <v>2512.51904296875</v>
      </c>
      <c r="Q53" s="1">
        <v>-309.96307373046875</v>
      </c>
      <c r="R53" s="1">
        <v>230.78199768066406</v>
      </c>
    </row>
    <row r="54" spans="1:18" x14ac:dyDescent="0.2">
      <c r="A54" s="1">
        <v>284.64889526367188</v>
      </c>
      <c r="B54" s="1">
        <v>-156.668701171875</v>
      </c>
      <c r="C54" s="1">
        <v>72.484756469726562</v>
      </c>
      <c r="F54" s="1">
        <v>-125.18105316162109</v>
      </c>
      <c r="G54" s="1">
        <v>-424.2939453125</v>
      </c>
      <c r="H54" s="1">
        <v>-1242.1964111328125</v>
      </c>
      <c r="K54" s="1">
        <v>-260.76528930664062</v>
      </c>
      <c r="L54" s="1">
        <v>-205.90425109863281</v>
      </c>
      <c r="M54" s="1">
        <v>574.31158447265625</v>
      </c>
      <c r="P54" s="1">
        <v>1629.227294921875</v>
      </c>
      <c r="Q54" s="1">
        <v>44.379940032958984</v>
      </c>
      <c r="R54" s="1">
        <v>-38.242561340332031</v>
      </c>
    </row>
    <row r="55" spans="1:18" x14ac:dyDescent="0.2">
      <c r="A55" s="1">
        <v>332.50576782226562</v>
      </c>
      <c r="B55" s="1">
        <v>425.8052978515625</v>
      </c>
      <c r="C55" s="1">
        <v>-20.466072082519531</v>
      </c>
      <c r="F55" s="1">
        <v>-167.09800720214844</v>
      </c>
      <c r="G55" s="1">
        <v>-144.02297973632812</v>
      </c>
      <c r="H55" s="1">
        <v>-852.3992919921875</v>
      </c>
      <c r="K55" s="1">
        <v>-359.82589721679688</v>
      </c>
      <c r="L55" s="1">
        <v>203.28926086425781</v>
      </c>
      <c r="M55" s="1">
        <v>-82.748214721679688</v>
      </c>
      <c r="P55" s="1">
        <v>666.32623291015625</v>
      </c>
      <c r="Q55" s="1">
        <v>256.01980590820312</v>
      </c>
      <c r="R55" s="1">
        <v>67.061012268066406</v>
      </c>
    </row>
    <row r="56" spans="1:18" x14ac:dyDescent="0.2">
      <c r="A56" s="1">
        <v>354.15951538085938</v>
      </c>
      <c r="B56" s="1">
        <v>91.076194763183594</v>
      </c>
      <c r="C56" s="1">
        <v>238.36434936523438</v>
      </c>
      <c r="F56" s="1">
        <v>-49.73760986328125</v>
      </c>
      <c r="G56" s="1">
        <v>-235.61921691894531</v>
      </c>
      <c r="H56" s="1">
        <v>-546.3052978515625</v>
      </c>
      <c r="K56" s="1">
        <v>-92.136505126953125</v>
      </c>
      <c r="L56" s="1">
        <v>319.48275756835938</v>
      </c>
      <c r="M56" s="1">
        <v>363.05133056640625</v>
      </c>
      <c r="P56" s="1">
        <v>-182.5435791015625</v>
      </c>
      <c r="Q56" s="1">
        <v>179.02688598632812</v>
      </c>
      <c r="R56" s="1">
        <v>215.05207824707031</v>
      </c>
    </row>
    <row r="57" spans="1:18" x14ac:dyDescent="0.2">
      <c r="A57" s="1">
        <v>364.031982421875</v>
      </c>
      <c r="B57" s="1">
        <v>107.47208404541016</v>
      </c>
      <c r="C57" s="1">
        <v>868.80413818359375</v>
      </c>
      <c r="F57" s="1">
        <v>48.423564910888672</v>
      </c>
      <c r="G57" s="1">
        <v>-160.51231384277344</v>
      </c>
      <c r="H57" s="1">
        <v>-252.1097412109375</v>
      </c>
      <c r="K57" s="1">
        <v>310.78726196289062</v>
      </c>
      <c r="L57" s="1">
        <v>656.98876953125</v>
      </c>
      <c r="M57" s="1">
        <v>310.16339111328125</v>
      </c>
      <c r="P57" s="1">
        <v>-1118.9134521484375</v>
      </c>
      <c r="Q57" s="1">
        <v>-113.07542419433594</v>
      </c>
      <c r="R57" s="1">
        <v>236.57440185546875</v>
      </c>
    </row>
    <row r="58" spans="1:18" x14ac:dyDescent="0.2">
      <c r="A58" s="1">
        <v>700.07635498046875</v>
      </c>
      <c r="B58" s="1">
        <v>60.571094512939453</v>
      </c>
      <c r="C58" s="1">
        <v>1988.775146484375</v>
      </c>
      <c r="F58" s="1">
        <v>71.084739685058594</v>
      </c>
      <c r="G58" s="1">
        <v>352.78988647460938</v>
      </c>
      <c r="H58" s="1">
        <v>-549.7579345703125</v>
      </c>
      <c r="K58" s="1">
        <v>815.00787353515625</v>
      </c>
      <c r="L58" s="1">
        <v>490.38540649414062</v>
      </c>
      <c r="M58" s="1">
        <v>1299.228515625</v>
      </c>
      <c r="P58" s="1">
        <v>-1867.892578125</v>
      </c>
      <c r="Q58" s="1">
        <v>153.681640625</v>
      </c>
      <c r="R58" s="1">
        <v>1017.1748657226562</v>
      </c>
    </row>
    <row r="59" spans="1:18" x14ac:dyDescent="0.2">
      <c r="A59" s="1">
        <v>1606.8863525390625</v>
      </c>
      <c r="B59" s="1">
        <v>477.12322998046875</v>
      </c>
      <c r="C59" s="1">
        <v>2438.605712890625</v>
      </c>
      <c r="F59" s="1">
        <v>54.97637939453125</v>
      </c>
      <c r="G59" s="1">
        <v>268.60772705078125</v>
      </c>
      <c r="H59" s="1">
        <v>-540.5701904296875</v>
      </c>
      <c r="K59" s="1">
        <v>1249.791015625</v>
      </c>
      <c r="L59" s="1">
        <v>275.06329345703125</v>
      </c>
      <c r="M59" s="1">
        <v>2652.043701171875</v>
      </c>
      <c r="P59" s="1">
        <v>-2069.512451171875</v>
      </c>
      <c r="Q59" s="1">
        <v>1098.266845703125</v>
      </c>
      <c r="R59" s="1">
        <v>2961.041015625</v>
      </c>
    </row>
    <row r="60" spans="1:18" x14ac:dyDescent="0.2">
      <c r="A60" s="1">
        <v>1779.9306640625</v>
      </c>
      <c r="B60" s="1">
        <v>1588.1597900390625</v>
      </c>
      <c r="C60" s="1">
        <v>2726.04541015625</v>
      </c>
      <c r="F60" s="1">
        <v>-201.45619201660156</v>
      </c>
      <c r="G60" s="1">
        <v>-379.82443237304688</v>
      </c>
      <c r="H60" s="1">
        <v>-240.88243103027344</v>
      </c>
      <c r="K60" s="1">
        <v>1919.35546875</v>
      </c>
      <c r="L60" s="1">
        <v>988.6474609375</v>
      </c>
      <c r="M60" s="1">
        <v>3730.79638671875</v>
      </c>
      <c r="P60" s="1">
        <v>-1153.3197021484375</v>
      </c>
      <c r="Q60" s="1">
        <v>3494.60205078125</v>
      </c>
      <c r="R60" s="1">
        <v>4105.2822265625</v>
      </c>
    </row>
    <row r="61" spans="1:18" x14ac:dyDescent="0.2">
      <c r="A61" s="1">
        <v>2367.63134765625</v>
      </c>
      <c r="B61" s="1">
        <v>3093.0712890625</v>
      </c>
      <c r="C61" s="1">
        <v>3455.3291015625</v>
      </c>
      <c r="F61" s="1">
        <v>-179.09970092773438</v>
      </c>
      <c r="G61" s="1">
        <v>-673.881591796875</v>
      </c>
      <c r="H61" s="1">
        <v>-142.56187438964844</v>
      </c>
      <c r="K61" s="1">
        <v>2923.044921875</v>
      </c>
      <c r="L61" s="1">
        <v>2339.825439453125</v>
      </c>
      <c r="M61" s="1">
        <v>4049.345947265625</v>
      </c>
      <c r="P61" s="1">
        <v>2161.998046875</v>
      </c>
      <c r="Q61" s="1">
        <v>6871.25732421875</v>
      </c>
      <c r="R61" s="1">
        <v>6736.24169921875</v>
      </c>
    </row>
    <row r="62" spans="1:18" x14ac:dyDescent="0.2">
      <c r="A62" s="1">
        <v>4955.19140625</v>
      </c>
      <c r="B62" s="1">
        <v>5419.34228515625</v>
      </c>
      <c r="C62" s="1">
        <v>6093.7685546875</v>
      </c>
      <c r="F62" s="1">
        <v>58.018497467041016</v>
      </c>
      <c r="G62" s="1">
        <v>-601.31378173828125</v>
      </c>
      <c r="H62" s="1">
        <v>-242.31163024902344</v>
      </c>
      <c r="K62" s="1">
        <v>4087.015380859375</v>
      </c>
      <c r="L62" s="1">
        <v>3444.096923828125</v>
      </c>
      <c r="M62" s="1">
        <v>5539.5048828125</v>
      </c>
      <c r="P62" s="1">
        <v>7283.1748046875</v>
      </c>
      <c r="Q62" s="1">
        <v>12665.6552734375</v>
      </c>
      <c r="R62" s="1">
        <v>11601.013671875</v>
      </c>
    </row>
    <row r="63" spans="1:18" x14ac:dyDescent="0.2">
      <c r="A63" s="1">
        <v>8126.79833984375</v>
      </c>
      <c r="B63" s="1">
        <v>9893.31640625</v>
      </c>
      <c r="C63" s="1">
        <v>9659.646484375</v>
      </c>
      <c r="F63" s="1">
        <v>-135.16798400878906</v>
      </c>
      <c r="G63" s="1">
        <v>-239.48811340332031</v>
      </c>
      <c r="H63" s="1">
        <v>-586.2332763671875</v>
      </c>
      <c r="K63" s="1">
        <v>6724.205078125</v>
      </c>
      <c r="L63" s="1">
        <v>4872.10302734375</v>
      </c>
      <c r="M63" s="1">
        <v>8239.9140625</v>
      </c>
      <c r="P63" s="1">
        <v>16079.4140625</v>
      </c>
      <c r="Q63" s="1">
        <v>22608.599609375</v>
      </c>
      <c r="R63" s="1">
        <v>20269.380859375</v>
      </c>
    </row>
    <row r="64" spans="1:18" x14ac:dyDescent="0.2">
      <c r="A64" s="1">
        <v>15188.8583984375</v>
      </c>
      <c r="B64" s="1">
        <v>17413.619140625</v>
      </c>
      <c r="C64" s="1">
        <v>16182.8046875</v>
      </c>
      <c r="F64" s="1">
        <v>-134.40133666992188</v>
      </c>
      <c r="G64" s="1">
        <v>-137.19371032714844</v>
      </c>
      <c r="H64" s="1">
        <v>-477.14706420898438</v>
      </c>
      <c r="K64" s="1">
        <v>11955.84765625</v>
      </c>
      <c r="L64" s="1">
        <v>9125.984375</v>
      </c>
      <c r="M64" s="1">
        <v>11006.7763671875</v>
      </c>
      <c r="P64" s="1">
        <v>30801.185546875</v>
      </c>
      <c r="Q64" s="1">
        <v>38707.54296875</v>
      </c>
      <c r="R64" s="1">
        <v>33138.02734375</v>
      </c>
    </row>
    <row r="65" spans="1:18" x14ac:dyDescent="0.2">
      <c r="A65" s="1">
        <v>26636.91796875</v>
      </c>
      <c r="B65" s="1">
        <v>30016.560546875</v>
      </c>
      <c r="C65" s="1">
        <v>27561.712890625</v>
      </c>
      <c r="F65" s="1">
        <v>-10.740166664123535</v>
      </c>
      <c r="G65" s="1">
        <v>-51.196186065673828</v>
      </c>
      <c r="H65" s="1">
        <v>-2.7796361446380615</v>
      </c>
      <c r="K65" s="1">
        <v>19850.615234375</v>
      </c>
      <c r="L65" s="1">
        <v>15383.037109375</v>
      </c>
      <c r="M65" s="1">
        <v>16303.4658203125</v>
      </c>
      <c r="P65" s="1">
        <v>50752.06640625</v>
      </c>
      <c r="Q65" s="1">
        <v>59706.93359375</v>
      </c>
      <c r="R65" s="1">
        <v>51112.53515625</v>
      </c>
    </row>
    <row r="66" spans="1:18" x14ac:dyDescent="0.2">
      <c r="A66" s="1">
        <v>46055.0234375</v>
      </c>
      <c r="B66" s="1">
        <v>52248.70703125</v>
      </c>
      <c r="C66" s="1">
        <v>46702.27734375</v>
      </c>
      <c r="F66" s="1">
        <v>-95.008682250976562</v>
      </c>
      <c r="G66" s="1">
        <v>203.34820556640625</v>
      </c>
      <c r="H66" s="1">
        <v>149.41592407226562</v>
      </c>
      <c r="K66" s="1">
        <v>33177.9765625</v>
      </c>
      <c r="L66" s="1">
        <v>25875.24609375</v>
      </c>
      <c r="M66" s="1">
        <v>23323.96875</v>
      </c>
      <c r="P66" s="1">
        <v>75352.1796875</v>
      </c>
      <c r="Q66" s="1">
        <v>84375.0859375</v>
      </c>
      <c r="R66" s="1">
        <v>73668.2734375</v>
      </c>
    </row>
    <row r="67" spans="1:18" x14ac:dyDescent="0.2">
      <c r="A67" s="1">
        <v>74807.7890625</v>
      </c>
      <c r="B67" s="1">
        <v>84665.4453125</v>
      </c>
      <c r="C67" s="1">
        <v>75837.53125</v>
      </c>
      <c r="F67" s="1">
        <v>-28.831880569458008</v>
      </c>
      <c r="G67" s="1">
        <v>287.57620239257812</v>
      </c>
      <c r="H67" s="1">
        <v>114.83804321289062</v>
      </c>
      <c r="K67" s="1">
        <v>51959.6640625</v>
      </c>
      <c r="L67" s="1">
        <v>41800.25390625</v>
      </c>
      <c r="M67" s="1">
        <v>33862.33203125</v>
      </c>
      <c r="P67" s="1">
        <v>102623.671875</v>
      </c>
      <c r="Q67" s="1">
        <v>112625.8515625</v>
      </c>
      <c r="R67" s="1">
        <v>99687.171875</v>
      </c>
    </row>
    <row r="68" spans="1:18" x14ac:dyDescent="0.2">
      <c r="A68" s="1">
        <v>110530.7109375</v>
      </c>
      <c r="B68" s="1">
        <v>125545.609375</v>
      </c>
      <c r="C68" s="1">
        <v>113047.4375</v>
      </c>
      <c r="F68" s="1">
        <v>190.14570617675781</v>
      </c>
      <c r="G68" s="1">
        <v>238.00732421875</v>
      </c>
      <c r="H68" s="1">
        <v>185.70547485351562</v>
      </c>
      <c r="K68" s="1">
        <v>76923.3046875</v>
      </c>
      <c r="L68" s="1">
        <v>62346.2109375</v>
      </c>
      <c r="M68" s="1">
        <v>47169.26953125</v>
      </c>
      <c r="P68" s="1">
        <v>132297.515625</v>
      </c>
      <c r="Q68" s="1">
        <v>142203.90625</v>
      </c>
      <c r="R68" s="1">
        <v>129040.0703125</v>
      </c>
    </row>
    <row r="69" spans="1:18" x14ac:dyDescent="0.2">
      <c r="A69" s="1">
        <v>152994.484375</v>
      </c>
      <c r="B69" s="1">
        <v>172290.15625</v>
      </c>
      <c r="C69" s="1">
        <v>158094.453125</v>
      </c>
      <c r="F69" s="1">
        <v>164.08421325683594</v>
      </c>
      <c r="G69" s="1">
        <v>23.782188415527344</v>
      </c>
      <c r="H69" s="1">
        <v>242.37760925292969</v>
      </c>
      <c r="K69" s="1">
        <v>107293.4375</v>
      </c>
      <c r="L69" s="1">
        <v>87406.609375</v>
      </c>
      <c r="M69" s="1">
        <v>62957.1640625</v>
      </c>
      <c r="P69" s="1">
        <v>163352.765625</v>
      </c>
      <c r="Q69" s="1">
        <v>172647.421875</v>
      </c>
      <c r="R69" s="1">
        <v>159216.4375</v>
      </c>
    </row>
    <row r="70" spans="1:18" x14ac:dyDescent="0.2">
      <c r="A70" s="1">
        <v>197919.25</v>
      </c>
      <c r="B70" s="1">
        <v>221705.0625</v>
      </c>
      <c r="C70" s="1">
        <v>205965.5</v>
      </c>
      <c r="F70" s="1">
        <v>-303.43820190429688</v>
      </c>
      <c r="G70" s="1">
        <v>126.17424774169922</v>
      </c>
      <c r="H70" s="1">
        <v>419.38565063476562</v>
      </c>
      <c r="K70" s="1">
        <v>139315.609375</v>
      </c>
      <c r="L70" s="1">
        <v>116579.4296875</v>
      </c>
      <c r="M70" s="1">
        <v>80216.0234375</v>
      </c>
      <c r="P70" s="1">
        <v>193816.65625</v>
      </c>
      <c r="Q70" s="1">
        <v>201443.828125</v>
      </c>
      <c r="R70" s="1">
        <v>189118.109375</v>
      </c>
    </row>
    <row r="71" spans="1:18" x14ac:dyDescent="0.2">
      <c r="A71" s="1">
        <v>243585.921875</v>
      </c>
      <c r="B71" s="1">
        <v>271144.625</v>
      </c>
      <c r="C71" s="1">
        <v>253675.25</v>
      </c>
      <c r="F71" s="1">
        <v>-184.23014831542969</v>
      </c>
      <c r="G71" s="1">
        <v>565.3865966796875</v>
      </c>
      <c r="H71" s="1">
        <v>708.81561279296875</v>
      </c>
      <c r="K71" s="1">
        <v>173465.71875</v>
      </c>
      <c r="L71" s="1">
        <v>148357.125</v>
      </c>
      <c r="M71" s="1">
        <v>97819.09375</v>
      </c>
      <c r="P71" s="1">
        <v>221522.453125</v>
      </c>
      <c r="Q71" s="1">
        <v>229696.953125</v>
      </c>
      <c r="R71" s="1">
        <v>217888.703125</v>
      </c>
    </row>
    <row r="72" spans="1:18" x14ac:dyDescent="0.2">
      <c r="A72" s="1">
        <v>287443.34375</v>
      </c>
      <c r="B72" s="1">
        <v>318882.1875</v>
      </c>
      <c r="C72" s="1">
        <v>300251.71875</v>
      </c>
      <c r="F72" s="1">
        <v>310.8919677734375</v>
      </c>
      <c r="G72" s="1">
        <v>556.7591552734375</v>
      </c>
      <c r="H72" s="1">
        <v>927.55023193359375</v>
      </c>
      <c r="K72" s="1">
        <v>208354.703125</v>
      </c>
      <c r="L72" s="1">
        <v>180821.03125</v>
      </c>
      <c r="M72" s="1">
        <v>116148.09375</v>
      </c>
      <c r="P72" s="1">
        <v>248670.484375</v>
      </c>
      <c r="Q72" s="1">
        <v>255817.46875</v>
      </c>
      <c r="R72" s="1">
        <v>244982.5625</v>
      </c>
    </row>
    <row r="73" spans="1:18" x14ac:dyDescent="0.2">
      <c r="A73" s="1">
        <v>329023.40625</v>
      </c>
      <c r="B73" s="1">
        <v>364436.84375</v>
      </c>
      <c r="C73" s="1">
        <v>345141.40625</v>
      </c>
      <c r="F73" s="1">
        <v>482.17031860351562</v>
      </c>
      <c r="G73" s="1">
        <v>-28.657403945922852</v>
      </c>
      <c r="H73" s="1">
        <v>1050.5582275390625</v>
      </c>
      <c r="K73" s="1">
        <v>243499.8125</v>
      </c>
      <c r="L73" s="1">
        <v>214058.59375</v>
      </c>
      <c r="M73" s="1">
        <v>134035.109375</v>
      </c>
      <c r="P73" s="1">
        <v>273547.5625</v>
      </c>
      <c r="Q73" s="1">
        <v>280884.46875</v>
      </c>
      <c r="R73" s="1">
        <v>270608.6875</v>
      </c>
    </row>
    <row r="74" spans="1:18" x14ac:dyDescent="0.2">
      <c r="A74" s="1">
        <v>362641.5</v>
      </c>
      <c r="B74" s="1">
        <v>400356.5</v>
      </c>
      <c r="C74" s="1">
        <v>380562.625</v>
      </c>
      <c r="F74" s="1">
        <v>617.81976318359375</v>
      </c>
      <c r="G74" s="1">
        <v>-18.366910934448242</v>
      </c>
      <c r="H74" s="1">
        <v>1197.6131591796875</v>
      </c>
      <c r="K74" s="1">
        <v>272159.375</v>
      </c>
      <c r="L74" s="1">
        <v>241444.640625</v>
      </c>
      <c r="M74" s="1">
        <v>149095.53125</v>
      </c>
      <c r="P74" s="1">
        <v>293462.03125</v>
      </c>
      <c r="Q74" s="1">
        <v>301251.8125</v>
      </c>
      <c r="R74" s="1">
        <v>291790.40625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3"/>
  <sheetViews>
    <sheetView topLeftCell="H1" workbookViewId="0">
      <selection activeCell="U1" sqref="U1:AC36"/>
    </sheetView>
  </sheetViews>
  <sheetFormatPr baseColWidth="10" defaultColWidth="8.83203125" defaultRowHeight="16" x14ac:dyDescent="0.2"/>
  <cols>
    <col min="10" max="10" width="5.1640625" customWidth="1"/>
    <col min="11" max="11" width="14.5" customWidth="1"/>
    <col min="22" max="22" width="11.33203125" customWidth="1"/>
    <col min="23" max="23" width="10.33203125" bestFit="1" customWidth="1"/>
    <col min="24" max="24" width="13.5" customWidth="1"/>
    <col min="25" max="25" width="12.6640625" customWidth="1"/>
    <col min="26" max="26" width="12.1640625" customWidth="1"/>
    <col min="28" max="29" width="11.33203125" customWidth="1"/>
  </cols>
  <sheetData>
    <row r="1" spans="1:29" x14ac:dyDescent="0.2">
      <c r="A1" s="1">
        <v>-1136.7747802734375</v>
      </c>
      <c r="B1" s="1">
        <v>963.5863037109375</v>
      </c>
      <c r="C1" s="1">
        <v>1322.1339111328125</v>
      </c>
      <c r="F1" s="1">
        <v>-1528.0484619140625</v>
      </c>
      <c r="G1" s="1">
        <v>-3780.357666015625</v>
      </c>
      <c r="H1" s="1">
        <v>-1445.50634765625</v>
      </c>
      <c r="K1" s="1">
        <v>-3358.384765625</v>
      </c>
      <c r="L1" s="1">
        <v>-1184.7125244140625</v>
      </c>
      <c r="M1" s="1">
        <v>303.03347778320312</v>
      </c>
      <c r="P1" s="1">
        <v>-1596.8829345703125</v>
      </c>
      <c r="Q1" s="1">
        <v>-2914.1240234375</v>
      </c>
      <c r="R1" s="1">
        <v>-1629.060546875</v>
      </c>
      <c r="V1" s="2" t="s">
        <v>0</v>
      </c>
      <c r="W1" s="2" t="s">
        <v>1</v>
      </c>
      <c r="X1" s="2" t="s">
        <v>2</v>
      </c>
      <c r="Y1" s="2" t="s">
        <v>3</v>
      </c>
      <c r="Z1" s="2" t="s">
        <v>4</v>
      </c>
      <c r="AA1" s="2" t="s">
        <v>5</v>
      </c>
      <c r="AB1" s="2" t="s">
        <v>6</v>
      </c>
      <c r="AC1" s="2" t="s">
        <v>7</v>
      </c>
    </row>
    <row r="2" spans="1:29" x14ac:dyDescent="0.2">
      <c r="A2" s="1">
        <v>-1192.2939453125</v>
      </c>
      <c r="B2" s="1">
        <v>2616.385498046875</v>
      </c>
      <c r="C2" s="1">
        <v>1193.357177734375</v>
      </c>
      <c r="F2" s="1">
        <v>-1370.9923095703125</v>
      </c>
      <c r="G2" s="1">
        <v>-3174.95166015625</v>
      </c>
      <c r="H2" s="1">
        <v>-586.5535888671875</v>
      </c>
      <c r="K2" s="1">
        <v>-2552.192626953125</v>
      </c>
      <c r="L2" s="1">
        <v>945.85626220703125</v>
      </c>
      <c r="M2" s="1">
        <v>720.4932861328125</v>
      </c>
      <c r="P2" s="1">
        <v>-1676.9366455078125</v>
      </c>
      <c r="Q2" s="1">
        <v>-2092.212890625</v>
      </c>
      <c r="R2" s="1">
        <v>-1165.583984375</v>
      </c>
      <c r="U2" s="3">
        <v>1</v>
      </c>
      <c r="V2" s="4">
        <f>AVERAGE(A1:C1)</f>
        <v>382.9818115234375</v>
      </c>
      <c r="W2" s="4">
        <f>AVERAGE(F1:H1)</f>
        <v>-2251.304158528646</v>
      </c>
      <c r="X2" s="4">
        <f>-AVERAGE(K1:M1)</f>
        <v>1413.3546040852864</v>
      </c>
      <c r="Y2" s="4">
        <f>AVERAGE(P1:R1)</f>
        <v>-2046.6891682942708</v>
      </c>
      <c r="Z2" s="4">
        <f>AVERAGE(A39:C39)</f>
        <v>24.897046089172363</v>
      </c>
      <c r="AA2" s="4">
        <f>AVERAGE(F39:H39)</f>
        <v>-23.014200846354168</v>
      </c>
      <c r="AB2" s="4">
        <f>AVERAGE(K39:M39)</f>
        <v>295.91708882649738</v>
      </c>
      <c r="AC2" s="4">
        <f>AVERAGE(P39:R39)</f>
        <v>74.190923055013016</v>
      </c>
    </row>
    <row r="3" spans="1:29" x14ac:dyDescent="0.2">
      <c r="A3" s="1">
        <v>-265.96548461914062</v>
      </c>
      <c r="B3" s="1">
        <v>1354.4970703125</v>
      </c>
      <c r="C3" s="1">
        <v>277.01004028320312</v>
      </c>
      <c r="F3" s="1">
        <v>-279.31106567382812</v>
      </c>
      <c r="G3" s="1">
        <v>-1376.2374267578125</v>
      </c>
      <c r="H3" s="1">
        <v>-155.13211059570312</v>
      </c>
      <c r="K3" s="1">
        <v>-267.281982421875</v>
      </c>
      <c r="L3" s="1">
        <v>310.33123779296875</v>
      </c>
      <c r="M3" s="1">
        <v>74.4375</v>
      </c>
      <c r="P3" s="1">
        <v>-701.64263916015625</v>
      </c>
      <c r="Q3" s="1">
        <v>-684.227783203125</v>
      </c>
      <c r="R3" s="1">
        <v>-426.138671875</v>
      </c>
      <c r="U3" s="3">
        <v>2</v>
      </c>
      <c r="V3" s="4">
        <f>AVERAGE(A2:C2)</f>
        <v>872.48291015625</v>
      </c>
      <c r="W3" s="4">
        <f>AVERAGE(F2:H2)</f>
        <v>-1710.83251953125</v>
      </c>
      <c r="X3" s="4">
        <f>AVERAGE(K2:M2)</f>
        <v>-295.28102620442706</v>
      </c>
      <c r="Y3" s="4">
        <f>AVERAGE(P2:R2)</f>
        <v>-1644.9111735026042</v>
      </c>
      <c r="Z3" s="4">
        <f>AVERAGE(A40:C40)</f>
        <v>524.001454671224</v>
      </c>
      <c r="AA3" s="4">
        <f>AVERAGE(F40:H40)</f>
        <v>31.336140950520832</v>
      </c>
      <c r="AB3" s="4">
        <f>AVERAGE(K40:M40)</f>
        <v>617.73991902669275</v>
      </c>
      <c r="AC3" s="4">
        <f>AVERAGE(P40:R40)</f>
        <v>402.81710561116535</v>
      </c>
    </row>
    <row r="4" spans="1:29" x14ac:dyDescent="0.2">
      <c r="A4" s="1">
        <v>143.80046081542969</v>
      </c>
      <c r="B4" s="1">
        <v>-727.672607421875</v>
      </c>
      <c r="C4" s="1">
        <v>6.6707587242126465</v>
      </c>
      <c r="F4" s="1">
        <v>-302.87991333007812</v>
      </c>
      <c r="G4" s="1">
        <v>-412.29254150390625</v>
      </c>
      <c r="H4" s="1">
        <v>-189.57000732421875</v>
      </c>
      <c r="K4" s="1">
        <v>61.753719329833984</v>
      </c>
      <c r="L4" s="1">
        <v>98.400001525878906</v>
      </c>
      <c r="M4" s="1">
        <v>-11.493303298950195</v>
      </c>
      <c r="P4" s="1">
        <v>188.16700744628906</v>
      </c>
      <c r="Q4" s="1">
        <v>-532.1097412109375</v>
      </c>
      <c r="R4" s="1">
        <v>168.634765625</v>
      </c>
      <c r="U4" s="3">
        <v>3</v>
      </c>
      <c r="V4" s="4">
        <f t="shared" ref="V4:V36" si="0">AVERAGE(A3:C3)</f>
        <v>455.1805419921875</v>
      </c>
      <c r="W4" s="4">
        <f t="shared" ref="W4:W36" si="1">AVERAGE(F3:H3)</f>
        <v>-603.56020100911462</v>
      </c>
      <c r="X4" s="4">
        <f t="shared" ref="X4" si="2">-AVERAGE(K3:M3)</f>
        <v>-39.162251790364586</v>
      </c>
      <c r="Y4" s="4">
        <f t="shared" ref="Y4:Y36" si="3">AVERAGE(P3:R3)</f>
        <v>-604.00303141276038</v>
      </c>
      <c r="Z4" s="4">
        <f t="shared" ref="Z4:Z36" si="4">AVERAGE(A41:C41)</f>
        <v>1005.2048034667969</v>
      </c>
      <c r="AA4" s="4">
        <f t="shared" ref="AA4:AA36" si="5">AVERAGE(F41:H41)</f>
        <v>146.50809733072916</v>
      </c>
      <c r="AB4" s="4">
        <f t="shared" ref="AB4:AB36" si="6">AVERAGE(K41:M41)</f>
        <v>163.87521743774414</v>
      </c>
      <c r="AC4" s="4">
        <f t="shared" ref="AC4:AC36" si="7">AVERAGE(P41:R41)</f>
        <v>43.475827534993492</v>
      </c>
    </row>
    <row r="5" spans="1:29" x14ac:dyDescent="0.2">
      <c r="A5" s="1">
        <v>511.73046875</v>
      </c>
      <c r="B5" s="1">
        <v>-1247.77978515625</v>
      </c>
      <c r="C5" s="1">
        <v>-91.387275695800781</v>
      </c>
      <c r="F5" s="1">
        <v>-66.140129089355469</v>
      </c>
      <c r="G5" s="1">
        <v>-225.80862426757812</v>
      </c>
      <c r="H5" s="1">
        <v>290.52334594726562</v>
      </c>
      <c r="K5" s="1">
        <v>84.820686340332031</v>
      </c>
      <c r="L5" s="1">
        <v>-638.84375</v>
      </c>
      <c r="M5" s="1">
        <v>-127.26786041259766</v>
      </c>
      <c r="P5" s="1">
        <v>64.832115173339844</v>
      </c>
      <c r="Q5" s="1">
        <v>673.95361328125</v>
      </c>
      <c r="R5" s="1">
        <v>233.173828125</v>
      </c>
      <c r="U5" s="3">
        <v>4</v>
      </c>
      <c r="V5" s="4">
        <f t="shared" si="0"/>
        <v>-192.40046262741089</v>
      </c>
      <c r="W5" s="4">
        <f t="shared" si="1"/>
        <v>-301.58082071940106</v>
      </c>
      <c r="X5" s="4">
        <f t="shared" ref="X5" si="8">AVERAGE(K4:M4)</f>
        <v>49.553472518920898</v>
      </c>
      <c r="Y5" s="4">
        <f t="shared" si="3"/>
        <v>-58.435989379882812</v>
      </c>
      <c r="Z5" s="4">
        <f t="shared" si="4"/>
        <v>911.92635599772132</v>
      </c>
      <c r="AA5" s="4">
        <f t="shared" si="5"/>
        <v>66.721728006998703</v>
      </c>
      <c r="AB5" s="4">
        <f t="shared" si="6"/>
        <v>158.47929636637369</v>
      </c>
      <c r="AC5" s="4">
        <f t="shared" si="7"/>
        <v>-111.60112762451172</v>
      </c>
    </row>
    <row r="6" spans="1:29" x14ac:dyDescent="0.2">
      <c r="A6" s="1">
        <v>-158.76139831542969</v>
      </c>
      <c r="B6" s="1">
        <v>-356.48065185546875</v>
      </c>
      <c r="C6" s="1">
        <v>-356.9140625</v>
      </c>
      <c r="F6" s="1">
        <v>236.77932739257812</v>
      </c>
      <c r="G6" s="1">
        <v>-235.20751953125</v>
      </c>
      <c r="H6" s="1">
        <v>111.77295684814453</v>
      </c>
      <c r="K6" s="1">
        <v>459.09075927734375</v>
      </c>
      <c r="L6" s="1">
        <v>-258.83749389648438</v>
      </c>
      <c r="M6" s="1">
        <v>-12.292410850524902</v>
      </c>
      <c r="P6" s="1">
        <v>295.46206665039062</v>
      </c>
      <c r="Q6" s="1">
        <v>755.7239990234375</v>
      </c>
      <c r="R6" s="1">
        <v>9.541015625</v>
      </c>
      <c r="U6" s="3">
        <v>5</v>
      </c>
      <c r="V6" s="4">
        <f t="shared" si="0"/>
        <v>-275.81219736735028</v>
      </c>
      <c r="W6" s="4">
        <f t="shared" si="1"/>
        <v>-0.47513580322265625</v>
      </c>
      <c r="X6" s="4">
        <f t="shared" ref="X6" si="9">-AVERAGE(K5:M5)</f>
        <v>227.09697469075522</v>
      </c>
      <c r="Y6" s="4">
        <f t="shared" si="3"/>
        <v>323.98651885986328</v>
      </c>
      <c r="Z6" s="4">
        <f t="shared" si="4"/>
        <v>330.52816772460938</v>
      </c>
      <c r="AA6" s="4">
        <f t="shared" si="5"/>
        <v>56.161911487579346</v>
      </c>
      <c r="AB6" s="4">
        <f t="shared" si="6"/>
        <v>139.45836893717447</v>
      </c>
      <c r="AC6" s="4">
        <f t="shared" si="7"/>
        <v>20.101869265238445</v>
      </c>
    </row>
    <row r="7" spans="1:29" x14ac:dyDescent="0.2">
      <c r="A7" s="1">
        <v>-415.92514038085938</v>
      </c>
      <c r="B7" s="1">
        <v>594.5059814453125</v>
      </c>
      <c r="C7" s="1">
        <v>-266.37835693359375</v>
      </c>
      <c r="F7" s="1">
        <v>283.30426025390625</v>
      </c>
      <c r="G7" s="1">
        <v>337.51858520507812</v>
      </c>
      <c r="H7" s="1">
        <v>-66.532119750976562</v>
      </c>
      <c r="K7" s="1">
        <v>-83.248512268066406</v>
      </c>
      <c r="L7" s="1">
        <v>488.95001220703125</v>
      </c>
      <c r="M7" s="1">
        <v>31.620534896850586</v>
      </c>
      <c r="P7" s="1">
        <v>495.74826049804688</v>
      </c>
      <c r="Q7" s="1">
        <v>348.93576049804688</v>
      </c>
      <c r="R7" s="1">
        <v>83.322265625</v>
      </c>
      <c r="U7" s="3">
        <v>6</v>
      </c>
      <c r="V7" s="4">
        <f t="shared" si="0"/>
        <v>-290.71870422363281</v>
      </c>
      <c r="W7" s="4">
        <f t="shared" si="1"/>
        <v>37.781588236490883</v>
      </c>
      <c r="X7" s="4">
        <f t="shared" ref="X7" si="10">AVERAGE(K6:M6)</f>
        <v>62.65361817677816</v>
      </c>
      <c r="Y7" s="4">
        <f t="shared" si="3"/>
        <v>353.57569376627606</v>
      </c>
      <c r="Z7" s="4">
        <f t="shared" si="4"/>
        <v>-661.62266031901038</v>
      </c>
      <c r="AA7" s="4">
        <f t="shared" si="5"/>
        <v>175.58126322428384</v>
      </c>
      <c r="AB7" s="4">
        <f t="shared" si="6"/>
        <v>-32.19276555379232</v>
      </c>
      <c r="AC7" s="4">
        <f t="shared" si="7"/>
        <v>319.89079602559406</v>
      </c>
    </row>
    <row r="8" spans="1:29" x14ac:dyDescent="0.2">
      <c r="A8" s="1">
        <v>88.0712890625</v>
      </c>
      <c r="B8" s="1">
        <v>382.9300537109375</v>
      </c>
      <c r="C8" s="1">
        <v>273.63394165039062</v>
      </c>
      <c r="F8" s="1">
        <v>379.32919311523438</v>
      </c>
      <c r="G8" s="1">
        <v>466.77984619140625</v>
      </c>
      <c r="H8" s="1">
        <v>204.74874877929688</v>
      </c>
      <c r="K8" s="1">
        <v>-255.13467407226562</v>
      </c>
      <c r="L8" s="1">
        <v>1917.675048828125</v>
      </c>
      <c r="M8" s="1">
        <v>93.549110412597656</v>
      </c>
      <c r="P8" s="1">
        <v>121.13602447509766</v>
      </c>
      <c r="Q8" s="1">
        <v>88.643638610839844</v>
      </c>
      <c r="R8" s="1">
        <v>257.291015625</v>
      </c>
      <c r="U8" s="3">
        <v>7</v>
      </c>
      <c r="V8" s="4">
        <f t="shared" si="0"/>
        <v>-29.265838623046875</v>
      </c>
      <c r="W8" s="4">
        <f t="shared" si="1"/>
        <v>184.76357523600259</v>
      </c>
      <c r="X8" s="4">
        <f t="shared" ref="X8" si="11">-AVERAGE(K7:M7)</f>
        <v>-145.77401161193848</v>
      </c>
      <c r="Y8" s="4">
        <f t="shared" si="3"/>
        <v>309.33542887369794</v>
      </c>
      <c r="Z8" s="4">
        <f t="shared" si="4"/>
        <v>-1006.749989827474</v>
      </c>
      <c r="AA8" s="4">
        <f t="shared" si="5"/>
        <v>143.25322977701822</v>
      </c>
      <c r="AB8" s="4">
        <f t="shared" si="6"/>
        <v>75.723810831705734</v>
      </c>
      <c r="AC8" s="4">
        <f t="shared" si="7"/>
        <v>307.6888542175293</v>
      </c>
    </row>
    <row r="9" spans="1:29" x14ac:dyDescent="0.2">
      <c r="A9" s="1">
        <v>146.98176574707031</v>
      </c>
      <c r="B9" s="1">
        <v>1357.6353759765625</v>
      </c>
      <c r="C9" s="1">
        <v>157.36495971679688</v>
      </c>
      <c r="F9" s="1">
        <v>106.01036834716797</v>
      </c>
      <c r="G9" s="1">
        <v>337.88876342773438</v>
      </c>
      <c r="H9" s="1">
        <v>42.79522705078125</v>
      </c>
      <c r="K9" s="1">
        <v>229.24479675292969</v>
      </c>
      <c r="L9" s="1">
        <v>3339.86865234375</v>
      </c>
      <c r="M9" s="1">
        <v>-48.553569793701172</v>
      </c>
      <c r="P9" s="1">
        <v>65.836288452148438</v>
      </c>
      <c r="Q9" s="1">
        <v>19.300737380981445</v>
      </c>
      <c r="R9" s="1">
        <v>2.580078125</v>
      </c>
      <c r="U9" s="3">
        <v>8</v>
      </c>
      <c r="V9" s="4">
        <f t="shared" si="0"/>
        <v>248.21176147460938</v>
      </c>
      <c r="W9" s="4">
        <f t="shared" si="1"/>
        <v>350.28592936197919</v>
      </c>
      <c r="X9" s="4">
        <f t="shared" ref="X9" si="12">AVERAGE(K8:M8)</f>
        <v>585.36316172281897</v>
      </c>
      <c r="Y9" s="4">
        <f t="shared" si="3"/>
        <v>155.69022623697916</v>
      </c>
      <c r="Z9" s="4">
        <f t="shared" si="4"/>
        <v>-670.13261413574219</v>
      </c>
      <c r="AA9" s="4">
        <f t="shared" si="5"/>
        <v>38.07232348124186</v>
      </c>
      <c r="AB9" s="4">
        <f t="shared" si="6"/>
        <v>245.84349950154623</v>
      </c>
      <c r="AC9" s="4">
        <f t="shared" si="7"/>
        <v>274.52464421590167</v>
      </c>
    </row>
    <row r="10" spans="1:29" x14ac:dyDescent="0.2">
      <c r="A10" s="1">
        <v>-49.931964874267578</v>
      </c>
      <c r="B10" s="1">
        <v>3597.8095703125</v>
      </c>
      <c r="C10" s="1">
        <v>290.71316528320312</v>
      </c>
      <c r="F10" s="1">
        <v>186.42982482910156</v>
      </c>
      <c r="G10" s="1">
        <v>455.9312744140625</v>
      </c>
      <c r="H10" s="1">
        <v>-167.66610717773438</v>
      </c>
      <c r="K10" s="1">
        <v>393.843017578125</v>
      </c>
      <c r="L10" s="1">
        <v>5336.84375</v>
      </c>
      <c r="M10" s="1">
        <v>-323.09375</v>
      </c>
      <c r="P10" s="1">
        <v>-48.404861450195312</v>
      </c>
      <c r="Q10" s="1">
        <v>-324.02655029296875</v>
      </c>
      <c r="R10" s="1">
        <v>-328.404296875</v>
      </c>
      <c r="U10" s="3">
        <v>9</v>
      </c>
      <c r="V10" s="4">
        <f t="shared" si="0"/>
        <v>553.99403381347656</v>
      </c>
      <c r="W10" s="4">
        <f t="shared" si="1"/>
        <v>162.23145294189453</v>
      </c>
      <c r="X10" s="4">
        <f t="shared" ref="X10" si="13">-AVERAGE(K9:M9)</f>
        <v>-1173.5199597676594</v>
      </c>
      <c r="Y10" s="4">
        <f t="shared" si="3"/>
        <v>29.239034652709961</v>
      </c>
      <c r="Z10" s="4">
        <f t="shared" si="4"/>
        <v>-277.42404683430988</v>
      </c>
      <c r="AA10" s="4">
        <f t="shared" si="5"/>
        <v>35.990375518798828</v>
      </c>
      <c r="AB10" s="4">
        <f t="shared" si="6"/>
        <v>205.48924255371094</v>
      </c>
      <c r="AC10" s="4">
        <f t="shared" si="7"/>
        <v>166.85655975341797</v>
      </c>
    </row>
    <row r="11" spans="1:29" x14ac:dyDescent="0.2">
      <c r="A11" s="1">
        <v>346.654296875</v>
      </c>
      <c r="B11" s="1">
        <v>5141.3896484375</v>
      </c>
      <c r="C11" s="1">
        <v>1366.3817138671875</v>
      </c>
      <c r="F11" s="1">
        <v>-56.513992309570312</v>
      </c>
      <c r="G11" s="1">
        <v>165.75112915039062</v>
      </c>
      <c r="H11" s="1">
        <v>-70.939933776855469</v>
      </c>
      <c r="K11" s="1">
        <v>798.61309814453125</v>
      </c>
      <c r="L11" s="1">
        <v>7550.06884765625</v>
      </c>
      <c r="M11" s="1">
        <v>189.53794860839844</v>
      </c>
      <c r="P11" s="1">
        <v>-481.13427734375</v>
      </c>
      <c r="Q11" s="1">
        <v>-346.19366455078125</v>
      </c>
      <c r="R11" s="1">
        <v>-439.841796875</v>
      </c>
      <c r="U11" s="3">
        <v>10</v>
      </c>
      <c r="V11" s="4">
        <f t="shared" si="0"/>
        <v>1279.5302569071453</v>
      </c>
      <c r="W11" s="4">
        <f t="shared" si="1"/>
        <v>158.23166402180991</v>
      </c>
      <c r="X11" s="4">
        <f t="shared" ref="X11" si="14">AVERAGE(K10:M10)</f>
        <v>1802.531005859375</v>
      </c>
      <c r="Y11" s="4">
        <f t="shared" si="3"/>
        <v>-233.61190287272134</v>
      </c>
      <c r="Z11" s="4">
        <f t="shared" si="4"/>
        <v>-337.13734436035156</v>
      </c>
      <c r="AA11" s="4">
        <f t="shared" si="5"/>
        <v>107.10764058430989</v>
      </c>
      <c r="AB11" s="4">
        <f t="shared" si="6"/>
        <v>-148.04730733235678</v>
      </c>
      <c r="AC11" s="4">
        <f t="shared" si="7"/>
        <v>-161.91439565022787</v>
      </c>
    </row>
    <row r="12" spans="1:29" x14ac:dyDescent="0.2">
      <c r="A12" s="1">
        <v>1789.3031005859375</v>
      </c>
      <c r="B12" s="1">
        <v>8030.97021484375</v>
      </c>
      <c r="C12" s="1">
        <v>2423.22998046875</v>
      </c>
      <c r="F12" s="1">
        <v>-76.078903198242188</v>
      </c>
      <c r="G12" s="1">
        <v>-145.32356262207031</v>
      </c>
      <c r="H12" s="1">
        <v>-90.049697875976562</v>
      </c>
      <c r="K12" s="1">
        <v>1703.0550537109375</v>
      </c>
      <c r="L12" s="1">
        <v>11204.7626953125</v>
      </c>
      <c r="M12" s="1">
        <v>1832.482177734375</v>
      </c>
      <c r="P12" s="1">
        <v>-432.65277099609375</v>
      </c>
      <c r="Q12" s="1">
        <v>-304.47406005859375</v>
      </c>
      <c r="R12" s="1">
        <v>181.494140625</v>
      </c>
      <c r="U12" s="3">
        <v>11</v>
      </c>
      <c r="V12" s="4">
        <f t="shared" si="0"/>
        <v>2284.808553059896</v>
      </c>
      <c r="W12" s="4">
        <f t="shared" si="1"/>
        <v>12.765734354654947</v>
      </c>
      <c r="X12" s="4">
        <f t="shared" ref="X12" si="15">-AVERAGE(K11:M11)</f>
        <v>-2846.0732981363931</v>
      </c>
      <c r="Y12" s="4">
        <f t="shared" si="3"/>
        <v>-422.38991292317706</v>
      </c>
      <c r="Z12" s="4">
        <f t="shared" si="4"/>
        <v>-267.49909273783368</v>
      </c>
      <c r="AA12" s="4">
        <f t="shared" si="5"/>
        <v>151.44497172037759</v>
      </c>
      <c r="AB12" s="4">
        <f t="shared" si="6"/>
        <v>-274.69323984781903</v>
      </c>
      <c r="AC12" s="4">
        <f t="shared" si="7"/>
        <v>-265.70881080627441</v>
      </c>
    </row>
    <row r="13" spans="1:29" x14ac:dyDescent="0.2">
      <c r="A13" s="1">
        <v>3909.662841796875</v>
      </c>
      <c r="B13" s="1">
        <v>11888.42578125</v>
      </c>
      <c r="C13" s="1">
        <v>4671.0859375</v>
      </c>
      <c r="F13" s="1">
        <v>-410.92898559570312</v>
      </c>
      <c r="G13" s="1">
        <v>-205.32792663574219</v>
      </c>
      <c r="H13" s="1">
        <v>328.56710815429688</v>
      </c>
      <c r="K13" s="1">
        <v>3246.6220703125</v>
      </c>
      <c r="L13" s="1">
        <v>15521.8310546875</v>
      </c>
      <c r="M13" s="1">
        <v>4306.70751953125</v>
      </c>
      <c r="P13" s="1">
        <v>6.7115449905395508</v>
      </c>
      <c r="Q13" s="1">
        <v>336.81195068359375</v>
      </c>
      <c r="R13" s="1">
        <v>1029.447265625</v>
      </c>
      <c r="U13" s="3">
        <v>12</v>
      </c>
      <c r="V13" s="4">
        <f t="shared" si="0"/>
        <v>4081.167765299479</v>
      </c>
      <c r="W13" s="4">
        <f t="shared" si="1"/>
        <v>-103.81738789876302</v>
      </c>
      <c r="X13" s="4">
        <f t="shared" ref="X13" si="16">AVERAGE(K12:M12)</f>
        <v>4913.4333089192705</v>
      </c>
      <c r="Y13" s="4">
        <f t="shared" si="3"/>
        <v>-185.21089680989584</v>
      </c>
      <c r="Z13" s="4">
        <f t="shared" si="4"/>
        <v>-126.89210510253906</v>
      </c>
      <c r="AA13" s="4">
        <f t="shared" si="5"/>
        <v>8.2419230143229161</v>
      </c>
      <c r="AB13" s="4">
        <f t="shared" si="6"/>
        <v>-155.32875061035156</v>
      </c>
      <c r="AC13" s="4">
        <f t="shared" si="7"/>
        <v>2.4043426513671875</v>
      </c>
    </row>
    <row r="14" spans="1:29" x14ac:dyDescent="0.2">
      <c r="A14" s="1">
        <v>8180.5888671875</v>
      </c>
      <c r="B14" s="1">
        <v>17446.474609375</v>
      </c>
      <c r="C14" s="1">
        <v>8779.2080078125</v>
      </c>
      <c r="F14" s="1">
        <v>-458.232177734375</v>
      </c>
      <c r="G14" s="1">
        <v>388.917724609375</v>
      </c>
      <c r="H14" s="1">
        <v>903.46514892578125</v>
      </c>
      <c r="K14" s="1">
        <v>6867.48583984375</v>
      </c>
      <c r="L14" s="1">
        <v>20744.462890625</v>
      </c>
      <c r="M14" s="1">
        <v>7710.16748046875</v>
      </c>
      <c r="P14" s="1">
        <v>1236.603271484375</v>
      </c>
      <c r="Q14" s="1">
        <v>2274.148681640625</v>
      </c>
      <c r="R14" s="1">
        <v>2854.658203125</v>
      </c>
      <c r="U14" s="3">
        <v>13</v>
      </c>
      <c r="V14" s="4">
        <f t="shared" si="0"/>
        <v>6823.058186848958</v>
      </c>
      <c r="W14" s="4">
        <f t="shared" si="1"/>
        <v>-95.896601359049484</v>
      </c>
      <c r="X14" s="4">
        <f t="shared" ref="X14" si="17">-AVERAGE(K13:M13)</f>
        <v>-7691.72021484375</v>
      </c>
      <c r="Y14" s="4">
        <f t="shared" si="3"/>
        <v>457.65692043304443</v>
      </c>
      <c r="Z14" s="4">
        <f t="shared" si="4"/>
        <v>-185.48822530110678</v>
      </c>
      <c r="AA14" s="4">
        <f t="shared" si="5"/>
        <v>-242.66683959960938</v>
      </c>
      <c r="AB14" s="4">
        <f t="shared" si="6"/>
        <v>-107.87572224934895</v>
      </c>
      <c r="AC14" s="4">
        <f t="shared" si="7"/>
        <v>-146.77937253316244</v>
      </c>
    </row>
    <row r="15" spans="1:29" x14ac:dyDescent="0.2">
      <c r="A15" s="1">
        <v>16571.7109375</v>
      </c>
      <c r="B15" s="1">
        <v>26117.8671875</v>
      </c>
      <c r="C15" s="1">
        <v>15906.1025390625</v>
      </c>
      <c r="F15" s="1">
        <v>-550.25408935546875</v>
      </c>
      <c r="G15" s="1">
        <v>427.93289184570312</v>
      </c>
      <c r="H15" s="1">
        <v>1566.4022216796875</v>
      </c>
      <c r="K15" s="1">
        <v>13723.349609375</v>
      </c>
      <c r="L15" s="1">
        <v>29730.96875</v>
      </c>
      <c r="M15" s="1">
        <v>13356.158203125</v>
      </c>
      <c r="P15" s="1">
        <v>2753.264404296875</v>
      </c>
      <c r="Q15" s="1">
        <v>5921.9853515625</v>
      </c>
      <c r="R15" s="1">
        <v>4775.244140625</v>
      </c>
      <c r="U15" s="3">
        <v>14</v>
      </c>
      <c r="V15" s="4">
        <f t="shared" si="0"/>
        <v>11468.757161458334</v>
      </c>
      <c r="W15" s="4">
        <f t="shared" si="1"/>
        <v>278.05023193359375</v>
      </c>
      <c r="X15" s="4">
        <f t="shared" ref="X15" si="18">AVERAGE(K14:M14)</f>
        <v>11774.038736979166</v>
      </c>
      <c r="Y15" s="4">
        <f t="shared" si="3"/>
        <v>2121.8033854166665</v>
      </c>
      <c r="Z15" s="4">
        <f t="shared" si="4"/>
        <v>36.009398460388184</v>
      </c>
      <c r="AA15" s="4">
        <f t="shared" si="5"/>
        <v>-338.24488194783527</v>
      </c>
      <c r="AB15" s="4">
        <f t="shared" si="6"/>
        <v>-122.02685546875</v>
      </c>
      <c r="AC15" s="4">
        <f t="shared" si="7"/>
        <v>-253.73263549804688</v>
      </c>
    </row>
    <row r="16" spans="1:29" x14ac:dyDescent="0.2">
      <c r="A16" s="1">
        <v>31901.16015625</v>
      </c>
      <c r="B16" s="1">
        <v>41897.04296875</v>
      </c>
      <c r="C16" s="1">
        <v>29930.177734375</v>
      </c>
      <c r="F16" s="1">
        <v>-264.84637451171875</v>
      </c>
      <c r="G16" s="1">
        <v>598.11212158203125</v>
      </c>
      <c r="H16" s="1">
        <v>3187.06591796875</v>
      </c>
      <c r="K16" s="1">
        <v>25643.431640625</v>
      </c>
      <c r="L16" s="1">
        <v>42790.8828125</v>
      </c>
      <c r="M16" s="1">
        <v>22019.353515625</v>
      </c>
      <c r="P16" s="1">
        <v>6773.43359375</v>
      </c>
      <c r="Q16" s="1">
        <v>11516.513671875</v>
      </c>
      <c r="R16" s="1">
        <v>9014.158203125</v>
      </c>
      <c r="U16" s="3">
        <v>15</v>
      </c>
      <c r="V16" s="4">
        <f t="shared" si="0"/>
        <v>19531.8935546875</v>
      </c>
      <c r="W16" s="4">
        <f t="shared" si="1"/>
        <v>481.36034138997394</v>
      </c>
      <c r="X16" s="4">
        <f t="shared" ref="X16" si="19">-AVERAGE(K15:M15)</f>
        <v>-18936.825520833332</v>
      </c>
      <c r="Y16" s="4">
        <f t="shared" si="3"/>
        <v>4483.497965494792</v>
      </c>
      <c r="Z16" s="4">
        <f t="shared" si="4"/>
        <v>368.41066487630206</v>
      </c>
      <c r="AA16" s="4">
        <f t="shared" si="5"/>
        <v>-350.61329015096027</v>
      </c>
      <c r="AB16" s="4">
        <f t="shared" si="6"/>
        <v>-324.88631693522137</v>
      </c>
      <c r="AC16" s="4">
        <f t="shared" si="7"/>
        <v>-387.90464274088544</v>
      </c>
    </row>
    <row r="17" spans="1:29" x14ac:dyDescent="0.2">
      <c r="A17" s="1">
        <v>57506.3046875</v>
      </c>
      <c r="B17" s="1">
        <v>69044.65625</v>
      </c>
      <c r="C17" s="1">
        <v>55095.22265625</v>
      </c>
      <c r="F17" s="1">
        <v>-475.12612915039062</v>
      </c>
      <c r="G17" s="1">
        <v>429.13900756835938</v>
      </c>
      <c r="H17" s="1">
        <v>5849.2138671875</v>
      </c>
      <c r="K17" s="1">
        <v>42905.625</v>
      </c>
      <c r="L17" s="1">
        <v>61942.54296875</v>
      </c>
      <c r="M17" s="1">
        <v>36436.828125</v>
      </c>
      <c r="P17" s="1">
        <v>10899.5595703125</v>
      </c>
      <c r="Q17" s="1">
        <v>20333.806640625</v>
      </c>
      <c r="R17" s="1">
        <v>15513.845703125</v>
      </c>
      <c r="U17" s="3">
        <v>16</v>
      </c>
      <c r="V17" s="4">
        <f t="shared" si="0"/>
        <v>34576.126953125</v>
      </c>
      <c r="W17" s="4">
        <f t="shared" si="1"/>
        <v>1173.4438883463542</v>
      </c>
      <c r="X17" s="4">
        <f t="shared" ref="X17" si="20">AVERAGE(K16:M16)</f>
        <v>30151.22265625</v>
      </c>
      <c r="Y17" s="4">
        <f t="shared" si="3"/>
        <v>9101.3684895833339</v>
      </c>
      <c r="Z17" s="4">
        <f t="shared" si="4"/>
        <v>451.99422709147137</v>
      </c>
      <c r="AA17" s="4">
        <f t="shared" si="5"/>
        <v>-150.56503295898438</v>
      </c>
      <c r="AB17" s="4">
        <f t="shared" si="6"/>
        <v>-294.83433691660565</v>
      </c>
      <c r="AC17" s="4">
        <f t="shared" si="7"/>
        <v>-290.65737406412762</v>
      </c>
    </row>
    <row r="18" spans="1:29" x14ac:dyDescent="0.2">
      <c r="A18" s="1">
        <v>93374.296875</v>
      </c>
      <c r="B18" s="1">
        <v>109091.671875</v>
      </c>
      <c r="C18" s="1">
        <v>96566.78125</v>
      </c>
      <c r="F18" s="1">
        <v>-395.9605712890625</v>
      </c>
      <c r="G18" s="1">
        <v>322.5799560546875</v>
      </c>
      <c r="H18" s="1">
        <v>7933.38525390625</v>
      </c>
      <c r="K18" s="1">
        <v>65750.625</v>
      </c>
      <c r="L18" s="1">
        <v>85834.296875</v>
      </c>
      <c r="M18" s="1">
        <v>54800.2265625</v>
      </c>
      <c r="P18" s="1">
        <v>16519.318359375</v>
      </c>
      <c r="Q18" s="1">
        <v>33234.1015625</v>
      </c>
      <c r="R18" s="1">
        <v>23943.658203125</v>
      </c>
      <c r="U18" s="3">
        <v>17</v>
      </c>
      <c r="V18" s="4">
        <f t="shared" si="0"/>
        <v>60548.727864583336</v>
      </c>
      <c r="W18" s="4">
        <f t="shared" si="1"/>
        <v>1934.408915201823</v>
      </c>
      <c r="X18" s="4">
        <f t="shared" ref="X18" si="21">-AVERAGE(K17:M17)</f>
        <v>-47094.998697916664</v>
      </c>
      <c r="Y18" s="4">
        <f t="shared" si="3"/>
        <v>15582.403971354166</v>
      </c>
      <c r="Z18" s="4">
        <f t="shared" si="4"/>
        <v>390.79653040568036</v>
      </c>
      <c r="AA18" s="4">
        <f t="shared" si="5"/>
        <v>-148.07145182291666</v>
      </c>
      <c r="AB18" s="4">
        <f t="shared" si="6"/>
        <v>-160.82401148478189</v>
      </c>
      <c r="AC18" s="4">
        <f t="shared" si="7"/>
        <v>-159.68875376383463</v>
      </c>
    </row>
    <row r="19" spans="1:29" x14ac:dyDescent="0.2">
      <c r="A19" s="1">
        <v>137116.234375</v>
      </c>
      <c r="B19" s="1">
        <v>159089.625</v>
      </c>
      <c r="C19" s="1">
        <v>151103.15625</v>
      </c>
      <c r="F19" s="1">
        <v>-822.5137939453125</v>
      </c>
      <c r="G19" s="1">
        <v>587.5677490234375</v>
      </c>
      <c r="H19" s="1">
        <v>11254.142578125</v>
      </c>
      <c r="K19" s="1">
        <v>92684.2734375</v>
      </c>
      <c r="L19" s="1">
        <v>114421.4296875</v>
      </c>
      <c r="M19" s="1">
        <v>77257.78125</v>
      </c>
      <c r="P19" s="1">
        <v>24114.6640625</v>
      </c>
      <c r="Q19" s="1">
        <v>49661.73046875</v>
      </c>
      <c r="R19" s="1">
        <v>35640.828125</v>
      </c>
      <c r="U19" s="3">
        <v>18</v>
      </c>
      <c r="V19" s="4">
        <f t="shared" si="0"/>
        <v>99677.583333333328</v>
      </c>
      <c r="W19" s="4">
        <f t="shared" si="1"/>
        <v>2620.0015462239585</v>
      </c>
      <c r="X19" s="4">
        <f t="shared" ref="X19" si="22">AVERAGE(K18:M18)</f>
        <v>68795.049479166672</v>
      </c>
      <c r="Y19" s="4">
        <f t="shared" si="3"/>
        <v>24565.692708333332</v>
      </c>
      <c r="Z19" s="4">
        <f t="shared" si="4"/>
        <v>675.16135660807288</v>
      </c>
      <c r="AA19" s="4">
        <f t="shared" si="5"/>
        <v>-58.618255615234375</v>
      </c>
      <c r="AB19" s="4">
        <f t="shared" si="6"/>
        <v>-231.48035939534506</v>
      </c>
      <c r="AC19" s="4">
        <f t="shared" si="7"/>
        <v>-175.319091796875</v>
      </c>
    </row>
    <row r="20" spans="1:29" x14ac:dyDescent="0.2">
      <c r="A20" s="1">
        <v>183177.609375</v>
      </c>
      <c r="B20" s="1">
        <v>214421.984375</v>
      </c>
      <c r="C20" s="1">
        <v>212353.515625</v>
      </c>
      <c r="F20" s="1">
        <v>-1206.5357666015625</v>
      </c>
      <c r="G20" s="1">
        <v>322.56338500976562</v>
      </c>
      <c r="H20" s="1">
        <v>15724.064453125</v>
      </c>
      <c r="K20" s="1">
        <v>122491.046875</v>
      </c>
      <c r="L20" s="1">
        <v>145506.03125</v>
      </c>
      <c r="M20" s="1">
        <v>102599.1171875</v>
      </c>
      <c r="P20" s="1">
        <v>33017.9140625</v>
      </c>
      <c r="Q20" s="1">
        <v>68027.390625</v>
      </c>
      <c r="R20" s="1">
        <v>49326.28125</v>
      </c>
      <c r="U20" s="3">
        <v>19</v>
      </c>
      <c r="V20" s="4">
        <f t="shared" si="0"/>
        <v>149103.00520833334</v>
      </c>
      <c r="W20" s="4">
        <f t="shared" si="1"/>
        <v>3673.0655110677085</v>
      </c>
      <c r="X20" s="4">
        <f t="shared" ref="X20" si="23">-AVERAGE(K19:M19)</f>
        <v>-94787.828125</v>
      </c>
      <c r="Y20" s="4">
        <f t="shared" si="3"/>
        <v>36472.407552083336</v>
      </c>
      <c r="Z20" s="4">
        <f t="shared" si="4"/>
        <v>1417.8725179036458</v>
      </c>
      <c r="AA20" s="4">
        <f t="shared" si="5"/>
        <v>128.53809611002603</v>
      </c>
      <c r="AB20" s="4">
        <f t="shared" si="6"/>
        <v>1.1810226440429688</v>
      </c>
      <c r="AC20" s="4">
        <f t="shared" si="7"/>
        <v>-132.31271107991537</v>
      </c>
    </row>
    <row r="21" spans="1:29" x14ac:dyDescent="0.2">
      <c r="A21" s="1">
        <v>227939.078125</v>
      </c>
      <c r="B21" s="1">
        <v>269925.28125</v>
      </c>
      <c r="C21" s="1">
        <v>275688.375</v>
      </c>
      <c r="F21" s="1">
        <v>-1239.6044921875</v>
      </c>
      <c r="G21" s="1">
        <v>-382.05035400390625</v>
      </c>
      <c r="H21" s="1">
        <v>21085.892578125</v>
      </c>
      <c r="K21" s="1">
        <v>153122.640625</v>
      </c>
      <c r="L21" s="1">
        <v>177879.34375</v>
      </c>
      <c r="M21" s="1">
        <v>129253.8046875</v>
      </c>
      <c r="P21" s="1">
        <v>42215.4921875</v>
      </c>
      <c r="Q21" s="1">
        <v>88023.9375</v>
      </c>
      <c r="R21" s="1">
        <v>65512.21875</v>
      </c>
      <c r="U21" s="3">
        <v>20</v>
      </c>
      <c r="V21" s="4">
        <f t="shared" si="0"/>
        <v>203317.703125</v>
      </c>
      <c r="W21" s="4">
        <f t="shared" si="1"/>
        <v>4946.6973571777344</v>
      </c>
      <c r="X21" s="4">
        <f t="shared" ref="X21" si="24">AVERAGE(K20:M20)</f>
        <v>123532.06510416667</v>
      </c>
      <c r="Y21" s="4">
        <f t="shared" si="3"/>
        <v>50123.861979166664</v>
      </c>
      <c r="Z21" s="4">
        <f t="shared" si="4"/>
        <v>1851.5993245442708</v>
      </c>
      <c r="AA21" s="4">
        <f t="shared" si="5"/>
        <v>277.09024365742999</v>
      </c>
      <c r="AB21" s="4">
        <f t="shared" si="6"/>
        <v>151.97259012858072</v>
      </c>
      <c r="AC21" s="4">
        <f t="shared" si="7"/>
        <v>18.838203589121502</v>
      </c>
    </row>
    <row r="22" spans="1:29" x14ac:dyDescent="0.2">
      <c r="A22" s="1">
        <v>270869.65625</v>
      </c>
      <c r="B22" s="1">
        <v>323731.875</v>
      </c>
      <c r="C22" s="1">
        <v>335800.96875</v>
      </c>
      <c r="F22" s="1">
        <v>-1219.60302734375</v>
      </c>
      <c r="G22" s="1">
        <v>-564.3828125</v>
      </c>
      <c r="H22" s="1">
        <v>26428.931640625</v>
      </c>
      <c r="K22" s="1">
        <v>183808.296875</v>
      </c>
      <c r="L22" s="1">
        <v>210145.046875</v>
      </c>
      <c r="M22" s="1">
        <v>155578.125</v>
      </c>
      <c r="P22" s="1">
        <v>53334.75390625</v>
      </c>
      <c r="Q22" s="1">
        <v>109148.4609375</v>
      </c>
      <c r="R22" s="1">
        <v>81772.578125</v>
      </c>
      <c r="U22" s="3">
        <v>21</v>
      </c>
      <c r="V22" s="4">
        <f t="shared" si="0"/>
        <v>257850.91145833334</v>
      </c>
      <c r="W22" s="4">
        <f t="shared" si="1"/>
        <v>6488.0792439778643</v>
      </c>
      <c r="X22" s="4">
        <f t="shared" ref="X22" si="25">-AVERAGE(K21:M21)</f>
        <v>-153418.59635416666</v>
      </c>
      <c r="Y22" s="4">
        <f t="shared" si="3"/>
        <v>65250.549479166664</v>
      </c>
      <c r="Z22" s="4">
        <f t="shared" si="4"/>
        <v>2325.7635904947915</v>
      </c>
      <c r="AA22" s="4">
        <f t="shared" si="5"/>
        <v>399.09424845377606</v>
      </c>
      <c r="AB22" s="4">
        <f t="shared" si="6"/>
        <v>294.42560958862305</v>
      </c>
      <c r="AC22" s="4">
        <f t="shared" si="7"/>
        <v>168.40838114420572</v>
      </c>
    </row>
    <row r="23" spans="1:29" x14ac:dyDescent="0.2">
      <c r="A23" s="1">
        <v>311623.125</v>
      </c>
      <c r="B23" s="1">
        <v>372022.09375</v>
      </c>
      <c r="C23" s="1">
        <v>390409.125</v>
      </c>
      <c r="F23" s="1">
        <v>-1587.03125</v>
      </c>
      <c r="G23" s="1">
        <v>-62.766101837158203</v>
      </c>
      <c r="H23" s="1">
        <v>32244.421875</v>
      </c>
      <c r="K23" s="1">
        <v>213243.8125</v>
      </c>
      <c r="L23" s="1">
        <v>240215.484375</v>
      </c>
      <c r="M23" s="1">
        <v>182052.359375</v>
      </c>
      <c r="P23" s="1">
        <v>64365.48828125</v>
      </c>
      <c r="Q23" s="1">
        <v>131524.28125</v>
      </c>
      <c r="R23" s="1">
        <v>99128.984375</v>
      </c>
      <c r="U23" s="3">
        <v>22</v>
      </c>
      <c r="V23" s="4">
        <f t="shared" si="0"/>
        <v>310134.16666666669</v>
      </c>
      <c r="W23" s="4">
        <f t="shared" si="1"/>
        <v>8214.98193359375</v>
      </c>
      <c r="X23" s="4">
        <f t="shared" ref="X23" si="26">AVERAGE(K22:M22)</f>
        <v>183177.15625</v>
      </c>
      <c r="Y23" s="4">
        <f t="shared" si="3"/>
        <v>81418.59765625</v>
      </c>
      <c r="Z23" s="4">
        <f t="shared" si="4"/>
        <v>3283.7351888020835</v>
      </c>
      <c r="AA23" s="4">
        <f t="shared" si="5"/>
        <v>667.55007298787439</v>
      </c>
      <c r="AB23" s="4">
        <f t="shared" si="6"/>
        <v>667.99843343098962</v>
      </c>
      <c r="AC23" s="4">
        <f t="shared" si="7"/>
        <v>345.37309773763019</v>
      </c>
    </row>
    <row r="24" spans="1:29" x14ac:dyDescent="0.2">
      <c r="A24" s="1">
        <v>347690.375</v>
      </c>
      <c r="B24" s="1">
        <v>415528.78125</v>
      </c>
      <c r="C24" s="1">
        <v>438460.6875</v>
      </c>
      <c r="F24" s="1">
        <v>-2187.73291015625</v>
      </c>
      <c r="G24" s="1">
        <v>-121.59468841552734</v>
      </c>
      <c r="H24" s="1">
        <v>38700.3359375</v>
      </c>
      <c r="K24" s="1">
        <v>241711.40625</v>
      </c>
      <c r="L24" s="1">
        <v>269447.1875</v>
      </c>
      <c r="M24" s="1">
        <v>207555.546875</v>
      </c>
      <c r="P24" s="1">
        <v>75824.7890625</v>
      </c>
      <c r="Q24" s="1">
        <v>153950.84375</v>
      </c>
      <c r="R24" s="1">
        <v>116495.75</v>
      </c>
      <c r="U24" s="3">
        <v>23</v>
      </c>
      <c r="V24" s="4">
        <f t="shared" si="0"/>
        <v>358018.11458333331</v>
      </c>
      <c r="W24" s="4">
        <f t="shared" si="1"/>
        <v>10198.208174387613</v>
      </c>
      <c r="X24" s="4">
        <f t="shared" ref="X24" si="27">-AVERAGE(K23:M23)</f>
        <v>-211837.21875</v>
      </c>
      <c r="Y24" s="4">
        <f t="shared" si="3"/>
        <v>98339.584635416672</v>
      </c>
      <c r="Z24" s="4">
        <f t="shared" si="4"/>
        <v>5009.52197265625</v>
      </c>
      <c r="AA24" s="4">
        <f t="shared" si="5"/>
        <v>729.00977818171179</v>
      </c>
      <c r="AB24" s="4">
        <f t="shared" si="6"/>
        <v>831.71710205078125</v>
      </c>
      <c r="AC24" s="4">
        <f t="shared" si="7"/>
        <v>397.93807983398438</v>
      </c>
    </row>
    <row r="25" spans="1:29" x14ac:dyDescent="0.2">
      <c r="A25" s="1">
        <v>379456.84375</v>
      </c>
      <c r="B25" s="1">
        <v>454072.5</v>
      </c>
      <c r="C25" s="1">
        <v>480644.8125</v>
      </c>
      <c r="F25" s="1">
        <v>-4996.1845703125</v>
      </c>
      <c r="G25" s="1">
        <v>-275.25531005859375</v>
      </c>
      <c r="H25" s="1">
        <v>45874.0390625</v>
      </c>
      <c r="K25" s="1">
        <v>267904.15625</v>
      </c>
      <c r="L25" s="1">
        <v>297200.875</v>
      </c>
      <c r="M25" s="1">
        <v>230976.234375</v>
      </c>
      <c r="P25" s="1">
        <v>88097.265625</v>
      </c>
      <c r="Q25" s="1">
        <v>175639.78125</v>
      </c>
      <c r="R25" s="1">
        <v>134509.71875</v>
      </c>
      <c r="U25" s="3">
        <v>24</v>
      </c>
      <c r="V25" s="4">
        <f t="shared" si="0"/>
        <v>400559.94791666669</v>
      </c>
      <c r="W25" s="4">
        <f t="shared" si="1"/>
        <v>12130.336112976074</v>
      </c>
      <c r="X25" s="4">
        <f t="shared" ref="X25" si="28">AVERAGE(K24:M24)</f>
        <v>239571.38020833334</v>
      </c>
      <c r="Y25" s="4">
        <f t="shared" si="3"/>
        <v>115423.79427083333</v>
      </c>
      <c r="Z25" s="4">
        <f t="shared" si="4"/>
        <v>7786.16796875</v>
      </c>
      <c r="AA25" s="4">
        <f t="shared" si="5"/>
        <v>572.55281130472815</v>
      </c>
      <c r="AB25" s="4">
        <f t="shared" si="6"/>
        <v>950.86282348632812</v>
      </c>
      <c r="AC25" s="4">
        <f t="shared" si="7"/>
        <v>539.8702290852865</v>
      </c>
    </row>
    <row r="26" spans="1:29" x14ac:dyDescent="0.2">
      <c r="A26" s="1">
        <v>407485.1875</v>
      </c>
      <c r="B26" s="1">
        <v>489069.9375</v>
      </c>
      <c r="C26" s="1">
        <v>518369.9375</v>
      </c>
      <c r="F26" s="1">
        <v>-7252.65966796875</v>
      </c>
      <c r="G26" s="1">
        <v>-341.21670532226562</v>
      </c>
      <c r="H26" s="1">
        <v>52495.7734375</v>
      </c>
      <c r="K26" s="1">
        <v>292325.375</v>
      </c>
      <c r="L26" s="1">
        <v>323827.125</v>
      </c>
      <c r="M26" s="1">
        <v>253448.15625</v>
      </c>
      <c r="P26" s="1">
        <v>98845.1171875</v>
      </c>
      <c r="Q26" s="1">
        <v>197294.796875</v>
      </c>
      <c r="R26" s="1">
        <v>152029.125</v>
      </c>
      <c r="U26" s="3">
        <v>25</v>
      </c>
      <c r="V26" s="4">
        <f t="shared" si="0"/>
        <v>438058.05208333331</v>
      </c>
      <c r="W26" s="4">
        <f t="shared" si="1"/>
        <v>13534.199727376303</v>
      </c>
      <c r="X26" s="4">
        <f t="shared" ref="X26" si="29">-AVERAGE(K25:M25)</f>
        <v>-265360.421875</v>
      </c>
      <c r="Y26" s="4">
        <f t="shared" si="3"/>
        <v>132748.921875</v>
      </c>
      <c r="Z26" s="4">
        <f t="shared" si="4"/>
        <v>13667.582356770834</v>
      </c>
      <c r="AA26" s="4">
        <f t="shared" si="5"/>
        <v>862.05161539713538</v>
      </c>
      <c r="AB26" s="4">
        <f t="shared" si="6"/>
        <v>1735.4981892903645</v>
      </c>
      <c r="AC26" s="4">
        <f t="shared" si="7"/>
        <v>1490.8049926757812</v>
      </c>
    </row>
    <row r="27" spans="1:29" x14ac:dyDescent="0.2">
      <c r="A27" s="1">
        <v>433105.34375</v>
      </c>
      <c r="B27" s="1">
        <v>518783.4375</v>
      </c>
      <c r="C27" s="1">
        <v>550490.1875</v>
      </c>
      <c r="F27" s="1">
        <v>-9017.201171875</v>
      </c>
      <c r="G27" s="1">
        <v>105.27112579345703</v>
      </c>
      <c r="H27" s="1">
        <v>58990.2890625</v>
      </c>
      <c r="K27" s="1">
        <v>315765.3125</v>
      </c>
      <c r="L27" s="1">
        <v>348103.75</v>
      </c>
      <c r="M27" s="1">
        <v>274950.9375</v>
      </c>
      <c r="P27" s="1">
        <v>110515.046875</v>
      </c>
      <c r="Q27" s="1">
        <v>217301.546875</v>
      </c>
      <c r="R27" s="1">
        <v>169614.359375</v>
      </c>
      <c r="U27" s="3">
        <v>26</v>
      </c>
      <c r="V27" s="4">
        <f t="shared" si="0"/>
        <v>471641.6875</v>
      </c>
      <c r="W27" s="4">
        <f t="shared" si="1"/>
        <v>14967.299021402994</v>
      </c>
      <c r="X27" s="4">
        <f t="shared" ref="X27" si="30">AVERAGE(K26:M26)</f>
        <v>289866.88541666669</v>
      </c>
      <c r="Y27" s="4">
        <f t="shared" si="3"/>
        <v>149389.6796875</v>
      </c>
      <c r="Z27" s="4">
        <f t="shared" si="4"/>
        <v>24129.468098958332</v>
      </c>
      <c r="AA27" s="4">
        <f t="shared" si="5"/>
        <v>1005.7053680419922</v>
      </c>
      <c r="AB27" s="4">
        <f t="shared" si="6"/>
        <v>2942.3053385416665</v>
      </c>
      <c r="AC27" s="4">
        <f t="shared" si="7"/>
        <v>2950.0196940104165</v>
      </c>
    </row>
    <row r="28" spans="1:29" x14ac:dyDescent="0.2">
      <c r="A28" s="1">
        <v>455515.125</v>
      </c>
      <c r="B28" s="1">
        <v>546470.5625</v>
      </c>
      <c r="C28" s="1">
        <v>579417.125</v>
      </c>
      <c r="F28" s="1">
        <v>-10300.44921875</v>
      </c>
      <c r="G28" s="1">
        <v>12.856601715087891</v>
      </c>
      <c r="H28" s="1">
        <v>66000.1953125</v>
      </c>
      <c r="K28" s="1">
        <v>337088</v>
      </c>
      <c r="L28" s="1">
        <v>369850.59375</v>
      </c>
      <c r="M28" s="1">
        <v>293817.5625</v>
      </c>
      <c r="P28" s="1">
        <v>123168.2578125</v>
      </c>
      <c r="Q28" s="1">
        <v>236188.03125</v>
      </c>
      <c r="R28" s="1">
        <v>186038.890625</v>
      </c>
      <c r="U28" s="3">
        <v>27</v>
      </c>
      <c r="V28" s="4">
        <f t="shared" si="0"/>
        <v>500792.98958333331</v>
      </c>
      <c r="W28" s="4">
        <f t="shared" si="1"/>
        <v>16692.786338806152</v>
      </c>
      <c r="X28" s="4">
        <f t="shared" ref="X28" si="31">-AVERAGE(K27:M27)</f>
        <v>-312940</v>
      </c>
      <c r="Y28" s="4">
        <f t="shared" si="3"/>
        <v>165810.31770833334</v>
      </c>
      <c r="Z28" s="4">
        <f t="shared" si="4"/>
        <v>42972.682291666664</v>
      </c>
      <c r="AA28" s="4">
        <f t="shared" si="5"/>
        <v>932.54523722330725</v>
      </c>
      <c r="AB28" s="4">
        <f t="shared" si="6"/>
        <v>4310.169840494792</v>
      </c>
      <c r="AC28" s="4">
        <f t="shared" si="7"/>
        <v>5235.272298177083</v>
      </c>
    </row>
    <row r="29" spans="1:29" x14ac:dyDescent="0.2">
      <c r="A29" s="1">
        <v>474921.5</v>
      </c>
      <c r="B29" s="1">
        <v>570845.9375</v>
      </c>
      <c r="C29" s="1">
        <v>605423.1875</v>
      </c>
      <c r="F29" s="1">
        <v>-11062.0380859375</v>
      </c>
      <c r="G29" s="1">
        <v>-251.88995361328125</v>
      </c>
      <c r="H29" s="1">
        <v>72715.1953125</v>
      </c>
      <c r="K29" s="1">
        <v>356348.4375</v>
      </c>
      <c r="L29" s="1">
        <v>390064.34375</v>
      </c>
      <c r="M29" s="1">
        <v>312287.21875</v>
      </c>
      <c r="P29" s="1">
        <v>134164.703125</v>
      </c>
      <c r="Q29" s="1">
        <v>254488.90625</v>
      </c>
      <c r="R29" s="1">
        <v>202464.0625</v>
      </c>
      <c r="U29" s="3">
        <v>28</v>
      </c>
      <c r="V29" s="4">
        <f t="shared" si="0"/>
        <v>527134.27083333337</v>
      </c>
      <c r="W29" s="4">
        <f t="shared" si="1"/>
        <v>18570.867565155029</v>
      </c>
      <c r="X29" s="4">
        <f t="shared" ref="X29" si="32">AVERAGE(K28:M28)</f>
        <v>333585.38541666669</v>
      </c>
      <c r="Y29" s="4">
        <f t="shared" si="3"/>
        <v>181798.39322916666</v>
      </c>
      <c r="Z29" s="4">
        <f t="shared" si="4"/>
        <v>74595.927083333328</v>
      </c>
      <c r="AA29" s="4">
        <f t="shared" si="5"/>
        <v>879.27581278483069</v>
      </c>
      <c r="AB29" s="4">
        <f t="shared" si="6"/>
        <v>6634.904296875</v>
      </c>
      <c r="AC29" s="4">
        <f t="shared" si="7"/>
        <v>9345.59619140625</v>
      </c>
    </row>
    <row r="30" spans="1:29" x14ac:dyDescent="0.2">
      <c r="A30" s="1">
        <v>493215.09375</v>
      </c>
      <c r="B30" s="1">
        <v>593557</v>
      </c>
      <c r="C30" s="1">
        <v>627481</v>
      </c>
      <c r="F30" s="1">
        <v>-11325.0673828125</v>
      </c>
      <c r="G30" s="1">
        <v>-348.50369262695312</v>
      </c>
      <c r="H30" s="1">
        <v>79115.5703125</v>
      </c>
      <c r="K30" s="1">
        <v>372752.3125</v>
      </c>
      <c r="L30" s="1">
        <v>409557.28125</v>
      </c>
      <c r="M30" s="1">
        <v>329511.6875</v>
      </c>
      <c r="P30" s="1">
        <v>144844.109375</v>
      </c>
      <c r="Q30" s="1">
        <v>270668.90625</v>
      </c>
      <c r="R30" s="1">
        <v>217341.75</v>
      </c>
      <c r="U30" s="3">
        <v>29</v>
      </c>
      <c r="V30" s="4">
        <f t="shared" si="0"/>
        <v>550396.875</v>
      </c>
      <c r="W30" s="4">
        <f t="shared" si="1"/>
        <v>20467.089090983074</v>
      </c>
      <c r="X30" s="4">
        <f t="shared" ref="X30" si="33">-AVERAGE(K29:M29)</f>
        <v>-352900</v>
      </c>
      <c r="Y30" s="4">
        <f t="shared" si="3"/>
        <v>197039.22395833334</v>
      </c>
      <c r="Z30" s="4">
        <f t="shared" si="4"/>
        <v>121375.11458333333</v>
      </c>
      <c r="AA30" s="4">
        <f t="shared" si="5"/>
        <v>985.95040257771814</v>
      </c>
      <c r="AB30" s="4">
        <f t="shared" si="6"/>
        <v>11083.02392578125</v>
      </c>
      <c r="AC30" s="4">
        <f t="shared" si="7"/>
        <v>15631.2041015625</v>
      </c>
    </row>
    <row r="31" spans="1:29" x14ac:dyDescent="0.2">
      <c r="A31" s="1">
        <v>509377.8125</v>
      </c>
      <c r="B31" s="1">
        <v>613086.625</v>
      </c>
      <c r="C31" s="1">
        <v>647902.4375</v>
      </c>
      <c r="F31" s="1">
        <v>-11192.796875</v>
      </c>
      <c r="G31" s="1">
        <v>-81.422119140625</v>
      </c>
      <c r="H31" s="1">
        <v>85755.5703125</v>
      </c>
      <c r="K31" s="1">
        <v>388619.28125</v>
      </c>
      <c r="L31" s="1">
        <v>427642.90625</v>
      </c>
      <c r="M31" s="1">
        <v>344549.3125</v>
      </c>
      <c r="P31" s="1">
        <v>154147.25</v>
      </c>
      <c r="Q31" s="1">
        <v>286388.21875</v>
      </c>
      <c r="R31" s="1">
        <v>231197.53125</v>
      </c>
      <c r="U31" s="3">
        <v>30</v>
      </c>
      <c r="V31" s="4">
        <f t="shared" si="0"/>
        <v>571417.69791666663</v>
      </c>
      <c r="W31" s="4">
        <f t="shared" si="1"/>
        <v>22480.666412353516</v>
      </c>
      <c r="X31" s="4">
        <f t="shared" ref="X31" si="34">AVERAGE(K30:M30)</f>
        <v>370607.09375</v>
      </c>
      <c r="Y31" s="4">
        <f t="shared" si="3"/>
        <v>210951.58854166666</v>
      </c>
      <c r="Z31" s="4">
        <f t="shared" si="4"/>
        <v>180123.23958333334</v>
      </c>
      <c r="AA31" s="4">
        <f t="shared" si="5"/>
        <v>1214.4165751139324</v>
      </c>
      <c r="AB31" s="4">
        <f t="shared" si="6"/>
        <v>17877.111979166668</v>
      </c>
      <c r="AC31" s="4">
        <f t="shared" si="7"/>
        <v>25084.135091145832</v>
      </c>
    </row>
    <row r="32" spans="1:29" x14ac:dyDescent="0.2">
      <c r="A32" s="1">
        <v>523532.9375</v>
      </c>
      <c r="B32" s="1">
        <v>631594.625</v>
      </c>
      <c r="C32" s="1">
        <v>665606.125</v>
      </c>
      <c r="F32" s="1">
        <v>-11273.228515625</v>
      </c>
      <c r="G32" s="1">
        <v>-96.633514404296875</v>
      </c>
      <c r="H32" s="1">
        <v>92982.7265625</v>
      </c>
      <c r="K32" s="1">
        <v>403781.09375</v>
      </c>
      <c r="L32" s="1">
        <v>443016.28125</v>
      </c>
      <c r="M32" s="1">
        <v>359331.90625</v>
      </c>
      <c r="P32" s="1">
        <v>164725.984375</v>
      </c>
      <c r="Q32" s="1">
        <v>301125.375</v>
      </c>
      <c r="R32" s="1">
        <v>244678.40625</v>
      </c>
      <c r="U32" s="3">
        <v>31</v>
      </c>
      <c r="V32" s="4">
        <f t="shared" si="0"/>
        <v>590122.29166666663</v>
      </c>
      <c r="W32" s="4">
        <f t="shared" si="1"/>
        <v>24827.117106119793</v>
      </c>
      <c r="X32" s="4">
        <f t="shared" ref="X32" si="35">-AVERAGE(K31:M31)</f>
        <v>-386937.16666666669</v>
      </c>
      <c r="Y32" s="4">
        <f t="shared" si="3"/>
        <v>223911</v>
      </c>
      <c r="Z32" s="4">
        <f t="shared" si="4"/>
        <v>244240.734375</v>
      </c>
      <c r="AA32" s="4">
        <f t="shared" si="5"/>
        <v>1224.3294474283855</v>
      </c>
      <c r="AB32" s="4">
        <f t="shared" si="6"/>
        <v>28390.831380208332</v>
      </c>
      <c r="AC32" s="4">
        <f t="shared" si="7"/>
        <v>37008.177734375</v>
      </c>
    </row>
    <row r="33" spans="1:29" x14ac:dyDescent="0.2">
      <c r="A33" s="1">
        <v>536973</v>
      </c>
      <c r="B33" s="1">
        <v>647416.0625</v>
      </c>
      <c r="C33" s="1">
        <v>681273.0625</v>
      </c>
      <c r="F33" s="1">
        <v>-10849.2158203125</v>
      </c>
      <c r="G33" s="1">
        <v>-107.25115966796875</v>
      </c>
      <c r="H33" s="1">
        <v>99214.1015625</v>
      </c>
      <c r="K33" s="1">
        <v>417887.71875</v>
      </c>
      <c r="L33" s="1">
        <v>459160.75</v>
      </c>
      <c r="M33" s="1">
        <v>372292.53125</v>
      </c>
      <c r="P33" s="1">
        <v>175142.5625</v>
      </c>
      <c r="Q33" s="1">
        <v>315581.84375</v>
      </c>
      <c r="R33" s="1">
        <v>258624.90625</v>
      </c>
      <c r="U33" s="3">
        <v>32</v>
      </c>
      <c r="V33" s="4">
        <f t="shared" si="0"/>
        <v>606911.22916666663</v>
      </c>
      <c r="W33" s="4">
        <f t="shared" si="1"/>
        <v>27204.288177490234</v>
      </c>
      <c r="X33" s="4">
        <f t="shared" ref="X33" si="36">AVERAGE(K32:M32)</f>
        <v>402043.09375</v>
      </c>
      <c r="Y33" s="4">
        <f t="shared" si="3"/>
        <v>236843.25520833334</v>
      </c>
      <c r="Z33" s="4">
        <f t="shared" si="4"/>
        <v>308919.51041666669</v>
      </c>
      <c r="AA33" s="4">
        <f t="shared" si="5"/>
        <v>1246.8412628173828</v>
      </c>
      <c r="AB33" s="4">
        <f t="shared" si="6"/>
        <v>44052.293619791664</v>
      </c>
      <c r="AC33" s="4">
        <f t="shared" si="7"/>
        <v>52350.379557291664</v>
      </c>
    </row>
    <row r="34" spans="1:29" x14ac:dyDescent="0.2">
      <c r="A34" s="1">
        <v>548439.1875</v>
      </c>
      <c r="B34" s="1">
        <v>662393.5625</v>
      </c>
      <c r="C34" s="1">
        <v>696190.25</v>
      </c>
      <c r="F34" s="1">
        <v>-10663.9990234375</v>
      </c>
      <c r="G34" s="1">
        <v>274.35385131835938</v>
      </c>
      <c r="H34" s="1">
        <v>106058.4140625</v>
      </c>
      <c r="K34" s="1">
        <v>429423.53125</v>
      </c>
      <c r="L34" s="1">
        <v>474477.125</v>
      </c>
      <c r="M34" s="1">
        <v>384764.15625</v>
      </c>
      <c r="P34" s="1">
        <v>184742.953125</v>
      </c>
      <c r="Q34" s="1">
        <v>329322.46875</v>
      </c>
      <c r="R34" s="1">
        <v>271008.75</v>
      </c>
      <c r="U34" s="3">
        <v>33</v>
      </c>
      <c r="V34" s="4">
        <f t="shared" si="0"/>
        <v>621887.375</v>
      </c>
      <c r="W34" s="4">
        <f t="shared" si="1"/>
        <v>29419.211527506512</v>
      </c>
      <c r="X34" s="4">
        <f t="shared" ref="X34" si="37">-AVERAGE(K33:M33)</f>
        <v>-416447</v>
      </c>
      <c r="Y34" s="4">
        <f t="shared" si="3"/>
        <v>249783.10416666666</v>
      </c>
      <c r="Z34" s="4">
        <f t="shared" si="4"/>
        <v>369012.8125</v>
      </c>
      <c r="AA34" s="4">
        <f t="shared" si="5"/>
        <v>1327.7215830485027</v>
      </c>
      <c r="AB34" s="4">
        <f t="shared" si="6"/>
        <v>64482.919270833336</v>
      </c>
      <c r="AC34" s="4">
        <f t="shared" si="7"/>
        <v>69926.904947916672</v>
      </c>
    </row>
    <row r="35" spans="1:29" x14ac:dyDescent="0.2">
      <c r="A35" s="1">
        <v>556621.4375</v>
      </c>
      <c r="B35" s="1">
        <v>675078.4375</v>
      </c>
      <c r="C35" s="1">
        <v>706565.625</v>
      </c>
      <c r="F35" s="1">
        <v>-10484.638671875</v>
      </c>
      <c r="G35" s="1">
        <v>858.7869873046875</v>
      </c>
      <c r="H35" s="1">
        <v>111492.578125</v>
      </c>
      <c r="K35" s="1">
        <v>438968.4375</v>
      </c>
      <c r="L35" s="1">
        <v>487440.1875</v>
      </c>
      <c r="M35" s="1">
        <v>394387.78125</v>
      </c>
      <c r="P35" s="1">
        <v>192491.546875</v>
      </c>
      <c r="Q35" s="1">
        <v>340280.6875</v>
      </c>
      <c r="R35" s="1">
        <v>281300.875</v>
      </c>
      <c r="U35" s="3">
        <v>34</v>
      </c>
      <c r="V35" s="4">
        <f t="shared" si="0"/>
        <v>635674.33333333337</v>
      </c>
      <c r="W35" s="4">
        <f t="shared" si="1"/>
        <v>31889.589630126953</v>
      </c>
      <c r="X35" s="4">
        <f t="shared" ref="X35" si="38">AVERAGE(K34:M34)</f>
        <v>429554.9375</v>
      </c>
      <c r="Y35" s="4">
        <f t="shared" si="3"/>
        <v>261691.390625</v>
      </c>
      <c r="Z35" s="4">
        <f t="shared" si="4"/>
        <v>423107.04166666669</v>
      </c>
      <c r="AA35" s="4">
        <f t="shared" si="5"/>
        <v>1441.028902689616</v>
      </c>
      <c r="AB35" s="4">
        <f t="shared" si="6"/>
        <v>88137.513020833328</v>
      </c>
      <c r="AC35" s="4">
        <f t="shared" si="7"/>
        <v>89672.31640625</v>
      </c>
    </row>
    <row r="36" spans="1:29" x14ac:dyDescent="0.2">
      <c r="U36" s="3">
        <v>35</v>
      </c>
      <c r="V36" s="4">
        <f t="shared" si="0"/>
        <v>646088.5</v>
      </c>
      <c r="W36" s="4">
        <f t="shared" si="1"/>
        <v>33955.575480143227</v>
      </c>
      <c r="X36" s="4">
        <f t="shared" ref="X36" si="39">-AVERAGE(K35:M35)</f>
        <v>-440265.46875</v>
      </c>
      <c r="Y36" s="4">
        <f t="shared" si="3"/>
        <v>271357.703125</v>
      </c>
      <c r="Z36" s="4">
        <f t="shared" si="4"/>
        <v>464426.59375</v>
      </c>
      <c r="AA36" s="4">
        <f t="shared" si="5"/>
        <v>1682.3610458374023</v>
      </c>
      <c r="AB36" s="4">
        <f t="shared" si="6"/>
        <v>110520.80729166667</v>
      </c>
      <c r="AC36" s="4">
        <f t="shared" si="7"/>
        <v>108139.7734375</v>
      </c>
    </row>
    <row r="39" spans="1:29" x14ac:dyDescent="0.2">
      <c r="A39" s="1">
        <v>731.231689453125</v>
      </c>
      <c r="B39" s="1">
        <v>-647.04266357421875</v>
      </c>
      <c r="C39" s="1">
        <v>-9.4978876113891602</v>
      </c>
      <c r="F39" s="1">
        <v>430.95916748046875</v>
      </c>
      <c r="G39" s="1">
        <v>-661.497802734375</v>
      </c>
      <c r="H39" s="1">
        <v>161.49603271484375</v>
      </c>
      <c r="K39" s="1">
        <v>10.621261596679688</v>
      </c>
      <c r="L39" s="1">
        <v>-600.48095703125</v>
      </c>
      <c r="M39" s="1">
        <v>1477.6109619140625</v>
      </c>
      <c r="P39" s="1">
        <v>406.03781127929688</v>
      </c>
      <c r="Q39" s="1">
        <v>144.43077087402344</v>
      </c>
      <c r="R39" s="1">
        <v>-327.89581298828125</v>
      </c>
    </row>
    <row r="40" spans="1:29" x14ac:dyDescent="0.2">
      <c r="A40" s="1">
        <v>1114.9954833984375</v>
      </c>
      <c r="B40" s="1">
        <v>-200.61483764648438</v>
      </c>
      <c r="C40" s="1">
        <v>657.62371826171875</v>
      </c>
      <c r="F40" s="1">
        <v>397.48773193359375</v>
      </c>
      <c r="G40" s="1">
        <v>-490.41033935546875</v>
      </c>
      <c r="H40" s="1">
        <v>186.9310302734375</v>
      </c>
      <c r="K40" s="1">
        <v>471.69287109375</v>
      </c>
      <c r="L40" s="1">
        <v>-236.84213256835938</v>
      </c>
      <c r="M40" s="1">
        <v>1618.3690185546875</v>
      </c>
      <c r="P40" s="1">
        <v>387.60650634765625</v>
      </c>
      <c r="Q40" s="1">
        <v>86.185081481933594</v>
      </c>
      <c r="R40" s="1">
        <v>734.65972900390625</v>
      </c>
    </row>
    <row r="41" spans="1:29" x14ac:dyDescent="0.2">
      <c r="A41" s="1">
        <v>1954.10302734375</v>
      </c>
      <c r="B41" s="1">
        <v>279.21139526367188</v>
      </c>
      <c r="C41" s="1">
        <v>782.29998779296875</v>
      </c>
      <c r="F41" s="1">
        <v>81.051483154296875</v>
      </c>
      <c r="G41" s="1">
        <v>206.99742126464844</v>
      </c>
      <c r="H41" s="1">
        <v>151.47538757324219</v>
      </c>
      <c r="K41" s="1">
        <v>253.59257507324219</v>
      </c>
      <c r="L41" s="1">
        <v>-55.656436920166016</v>
      </c>
      <c r="M41" s="1">
        <v>293.68951416015625</v>
      </c>
      <c r="P41" s="1">
        <v>-110.71930694580078</v>
      </c>
      <c r="Q41" s="1">
        <v>-131.63092041015625</v>
      </c>
      <c r="R41" s="1">
        <v>372.7777099609375</v>
      </c>
    </row>
    <row r="42" spans="1:29" x14ac:dyDescent="0.2">
      <c r="A42" s="1">
        <v>2094.08544921875</v>
      </c>
      <c r="B42" s="1">
        <v>239.99076843261719</v>
      </c>
      <c r="C42" s="1">
        <v>401.70285034179688</v>
      </c>
      <c r="F42" s="1">
        <v>-108.27539825439453</v>
      </c>
      <c r="G42" s="1">
        <v>69.280197143554688</v>
      </c>
      <c r="H42" s="1">
        <v>239.16038513183594</v>
      </c>
      <c r="K42" s="1">
        <v>100.10167694091797</v>
      </c>
      <c r="L42" s="1">
        <v>249.04487609863281</v>
      </c>
      <c r="M42" s="1">
        <v>126.29133605957031</v>
      </c>
      <c r="P42" s="1">
        <v>-238.29904174804688</v>
      </c>
      <c r="Q42" s="1">
        <v>-189.47035217285156</v>
      </c>
      <c r="R42" s="1">
        <v>92.966011047363281</v>
      </c>
    </row>
    <row r="43" spans="1:29" x14ac:dyDescent="0.2">
      <c r="A43" s="1">
        <v>914.73211669921875</v>
      </c>
      <c r="B43" s="1">
        <v>232.98887634277344</v>
      </c>
      <c r="C43" s="1">
        <v>-156.13648986816406</v>
      </c>
      <c r="F43" s="1">
        <v>-97.938224792480469</v>
      </c>
      <c r="G43" s="1">
        <v>-2.3042206764221191</v>
      </c>
      <c r="H43" s="1">
        <v>268.72817993164062</v>
      </c>
      <c r="K43" s="1">
        <v>141.39201354980469</v>
      </c>
      <c r="L43" s="1">
        <v>120.63682556152344</v>
      </c>
      <c r="M43" s="1">
        <v>156.34626770019531</v>
      </c>
      <c r="P43" s="1">
        <v>-86.695175170898438</v>
      </c>
      <c r="Q43" s="1">
        <v>14.807393074035645</v>
      </c>
      <c r="R43" s="1">
        <v>132.19338989257812</v>
      </c>
    </row>
    <row r="44" spans="1:29" x14ac:dyDescent="0.2">
      <c r="A44" s="1">
        <v>-2038.879150390625</v>
      </c>
      <c r="B44" s="1">
        <v>338.02606201171875</v>
      </c>
      <c r="C44" s="1">
        <v>-284.014892578125</v>
      </c>
      <c r="F44" s="1">
        <v>259.10989379882812</v>
      </c>
      <c r="G44" s="1">
        <v>404.48635864257812</v>
      </c>
      <c r="H44" s="1">
        <v>-136.85246276855469</v>
      </c>
      <c r="K44" s="1">
        <v>-245.395751953125</v>
      </c>
      <c r="L44" s="1">
        <v>187.338134765625</v>
      </c>
      <c r="M44" s="1">
        <v>-38.520679473876953</v>
      </c>
      <c r="P44" s="1">
        <v>19.197748184204102</v>
      </c>
      <c r="Q44" s="1">
        <v>534.60858154296875</v>
      </c>
      <c r="R44" s="1">
        <v>405.86605834960938</v>
      </c>
    </row>
    <row r="45" spans="1:29" x14ac:dyDescent="0.2">
      <c r="A45" s="1">
        <v>-2368.537109375</v>
      </c>
      <c r="B45" s="1">
        <v>-188.288330078125</v>
      </c>
      <c r="C45" s="1">
        <v>-463.42453002929688</v>
      </c>
      <c r="F45" s="1">
        <v>185.48614501953125</v>
      </c>
      <c r="G45" s="1">
        <v>438.04257202148438</v>
      </c>
      <c r="H45" s="1">
        <v>-193.76902770996094</v>
      </c>
      <c r="K45" s="1">
        <v>-207.96478271484375</v>
      </c>
      <c r="L45" s="1">
        <v>287.39883422851562</v>
      </c>
      <c r="M45" s="1">
        <v>147.73738098144531</v>
      </c>
      <c r="P45" s="1">
        <v>58.235202789306641</v>
      </c>
      <c r="Q45" s="1">
        <v>597.7926025390625</v>
      </c>
      <c r="R45" s="1">
        <v>267.03875732421875</v>
      </c>
    </row>
    <row r="46" spans="1:29" x14ac:dyDescent="0.2">
      <c r="A46" s="1">
        <v>-1448.2734375</v>
      </c>
      <c r="B46" s="1">
        <v>-194.75895690917969</v>
      </c>
      <c r="C46" s="1">
        <v>-367.36544799804688</v>
      </c>
      <c r="F46" s="1">
        <v>-241.30558776855469</v>
      </c>
      <c r="G46" s="1">
        <v>374.97378540039062</v>
      </c>
      <c r="H46" s="1">
        <v>-19.451227188110352</v>
      </c>
      <c r="K46" s="1">
        <v>30.513057708740234</v>
      </c>
      <c r="L46" s="1">
        <v>194.02201843261719</v>
      </c>
      <c r="M46" s="1">
        <v>512.99542236328125</v>
      </c>
      <c r="P46" s="1">
        <v>302.76873779296875</v>
      </c>
      <c r="Q46" s="1">
        <v>541.515625</v>
      </c>
      <c r="R46" s="1">
        <v>-20.710430145263672</v>
      </c>
    </row>
    <row r="47" spans="1:29" x14ac:dyDescent="0.2">
      <c r="A47" s="1">
        <v>-964.6190185546875</v>
      </c>
      <c r="B47" s="1">
        <v>204.73133850097656</v>
      </c>
      <c r="C47" s="1">
        <v>-72.38446044921875</v>
      </c>
      <c r="F47" s="1">
        <v>-253.46450805664062</v>
      </c>
      <c r="G47" s="1">
        <v>383.52218627929688</v>
      </c>
      <c r="H47" s="1">
        <v>-22.086551666259766</v>
      </c>
      <c r="K47" s="1">
        <v>-56.55596923828125</v>
      </c>
      <c r="L47" s="1">
        <v>241.09834289550781</v>
      </c>
      <c r="M47" s="1">
        <v>431.92535400390625</v>
      </c>
      <c r="P47" s="1">
        <v>289.92340087890625</v>
      </c>
      <c r="Q47" s="1">
        <v>241.77777099609375</v>
      </c>
      <c r="R47" s="1">
        <v>-31.131492614746094</v>
      </c>
    </row>
    <row r="48" spans="1:29" x14ac:dyDescent="0.2">
      <c r="A48" s="1">
        <v>-429.48019409179688</v>
      </c>
      <c r="B48" s="1">
        <v>-490.70022583007812</v>
      </c>
      <c r="C48" s="1">
        <v>-91.231613159179688</v>
      </c>
      <c r="F48" s="1">
        <v>241.3648681640625</v>
      </c>
      <c r="G48" s="1">
        <v>311.414306640625</v>
      </c>
      <c r="H48" s="1">
        <v>-231.45625305175781</v>
      </c>
      <c r="K48" s="1">
        <v>-451.515625</v>
      </c>
      <c r="L48" s="1">
        <v>54.659030914306641</v>
      </c>
      <c r="M48" s="1">
        <v>-47.285327911376953</v>
      </c>
      <c r="P48" s="1">
        <v>64.285072326660156</v>
      </c>
      <c r="Q48" s="1">
        <v>-753.9835205078125</v>
      </c>
      <c r="R48" s="1">
        <v>203.95526123046875</v>
      </c>
    </row>
    <row r="49" spans="1:18" x14ac:dyDescent="0.2">
      <c r="A49" s="1">
        <v>-171.0679931640625</v>
      </c>
      <c r="B49" s="1">
        <v>-617.63958740234375</v>
      </c>
      <c r="C49" s="1">
        <v>-13.789697647094727</v>
      </c>
      <c r="F49" s="1">
        <v>336.64346313476562</v>
      </c>
      <c r="G49" s="1">
        <v>320.04864501953125</v>
      </c>
      <c r="H49" s="1">
        <v>-202.35719299316406</v>
      </c>
      <c r="K49" s="1">
        <v>-230.11590576171875</v>
      </c>
      <c r="L49" s="1">
        <v>-96.905281066894531</v>
      </c>
      <c r="M49" s="1">
        <v>-497.05853271484375</v>
      </c>
      <c r="P49" s="1">
        <v>-11.353254318237305</v>
      </c>
      <c r="Q49" s="1">
        <v>-714.776123046875</v>
      </c>
      <c r="R49" s="1">
        <v>-70.997055053710938</v>
      </c>
    </row>
    <row r="50" spans="1:18" x14ac:dyDescent="0.2">
      <c r="A50" s="1">
        <v>67.414543151855469</v>
      </c>
      <c r="B50" s="1">
        <v>-378.46182250976562</v>
      </c>
      <c r="C50" s="1">
        <v>-69.629035949707031</v>
      </c>
      <c r="F50" s="1">
        <v>380.76968383789062</v>
      </c>
      <c r="G50" s="1">
        <v>-275.0045166015625</v>
      </c>
      <c r="H50" s="1">
        <v>-81.039398193359375</v>
      </c>
      <c r="K50" s="1">
        <v>201.1588134765625</v>
      </c>
      <c r="L50" s="1">
        <v>-58.235214233398438</v>
      </c>
      <c r="M50" s="1">
        <v>-608.90985107421875</v>
      </c>
      <c r="P50" s="1">
        <v>65.7545166015625</v>
      </c>
      <c r="Q50" s="1">
        <v>212.32975769042969</v>
      </c>
      <c r="R50" s="1">
        <v>-270.87124633789062</v>
      </c>
    </row>
    <row r="51" spans="1:18" x14ac:dyDescent="0.2">
      <c r="A51" s="1">
        <v>308.9205322265625</v>
      </c>
      <c r="B51" s="1">
        <v>-227.72932434082031</v>
      </c>
      <c r="C51" s="1">
        <v>-637.6558837890625</v>
      </c>
      <c r="F51" s="1">
        <v>142.02093505859375</v>
      </c>
      <c r="G51" s="1">
        <v>-566.19049072265625</v>
      </c>
      <c r="H51" s="1">
        <v>-303.83096313476562</v>
      </c>
      <c r="K51" s="1">
        <v>476.04290771484375</v>
      </c>
      <c r="L51" s="1">
        <v>-317.51828002929688</v>
      </c>
      <c r="M51" s="1">
        <v>-482.15179443359375</v>
      </c>
      <c r="P51" s="1">
        <v>241.03416442871094</v>
      </c>
      <c r="Q51" s="1">
        <v>-28.736234664916992</v>
      </c>
      <c r="R51" s="1">
        <v>-652.63604736328125</v>
      </c>
    </row>
    <row r="52" spans="1:18" x14ac:dyDescent="0.2">
      <c r="A52" s="1">
        <v>450.34835815429688</v>
      </c>
      <c r="B52" s="1">
        <v>4.3078584671020508</v>
      </c>
      <c r="C52" s="1">
        <v>-346.62802124023438</v>
      </c>
      <c r="F52" s="1">
        <v>-40.790325164794922</v>
      </c>
      <c r="G52" s="1">
        <v>-738.93115234375</v>
      </c>
      <c r="H52" s="1">
        <v>-235.01316833496094</v>
      </c>
      <c r="K52" s="1">
        <v>167.755126953125</v>
      </c>
      <c r="L52" s="1">
        <v>-259.14508056640625</v>
      </c>
      <c r="M52" s="1">
        <v>-274.69061279296875</v>
      </c>
      <c r="P52" s="1">
        <v>166.19270324707031</v>
      </c>
      <c r="Q52" s="1">
        <v>-203.16941833496094</v>
      </c>
      <c r="R52" s="1">
        <v>-724.22119140625</v>
      </c>
    </row>
    <row r="53" spans="1:18" x14ac:dyDescent="0.2">
      <c r="A53" s="1">
        <v>749.11993408203125</v>
      </c>
      <c r="B53" s="1">
        <v>-328.71746826171875</v>
      </c>
      <c r="C53" s="1">
        <v>684.82952880859375</v>
      </c>
      <c r="F53" s="1">
        <v>-347.34768676757812</v>
      </c>
      <c r="G53" s="1">
        <v>-764.34368896484375</v>
      </c>
      <c r="H53" s="1">
        <v>59.851505279541016</v>
      </c>
      <c r="K53" s="1">
        <v>-227.84513854980469</v>
      </c>
      <c r="L53" s="1">
        <v>-388.89688110351562</v>
      </c>
      <c r="M53" s="1">
        <v>-357.91693115234375</v>
      </c>
      <c r="P53" s="1">
        <v>-172.50030517578125</v>
      </c>
      <c r="Q53" s="1">
        <v>-393.43853759765625</v>
      </c>
      <c r="R53" s="1">
        <v>-597.77508544921875</v>
      </c>
    </row>
    <row r="54" spans="1:18" x14ac:dyDescent="0.2">
      <c r="A54" s="1">
        <v>917.84466552734375</v>
      </c>
      <c r="B54" s="1">
        <v>-195.28965759277344</v>
      </c>
      <c r="C54" s="1">
        <v>633.42767333984375</v>
      </c>
      <c r="F54" s="1">
        <v>-425.701904296875</v>
      </c>
      <c r="G54" s="1">
        <v>-406.52969360351562</v>
      </c>
      <c r="H54" s="1">
        <v>380.5364990234375</v>
      </c>
      <c r="K54" s="1">
        <v>-7.7266740798950195</v>
      </c>
      <c r="L54" s="1">
        <v>-432.67996215820312</v>
      </c>
      <c r="M54" s="1">
        <v>-444.09637451171875</v>
      </c>
      <c r="P54" s="1">
        <v>-241.95112609863281</v>
      </c>
      <c r="Q54" s="1">
        <v>-345.98892211914062</v>
      </c>
      <c r="R54" s="1">
        <v>-284.03207397460938</v>
      </c>
    </row>
    <row r="55" spans="1:18" x14ac:dyDescent="0.2">
      <c r="A55" s="1">
        <v>-35.711849212646484</v>
      </c>
      <c r="B55" s="1">
        <v>560.96624755859375</v>
      </c>
      <c r="C55" s="1">
        <v>647.13519287109375</v>
      </c>
      <c r="F55" s="1">
        <v>-404.00143432617188</v>
      </c>
      <c r="G55" s="1">
        <v>-366.31723022460938</v>
      </c>
      <c r="H55" s="1">
        <v>326.10430908203125</v>
      </c>
      <c r="K55" s="1">
        <v>56.563671112060547</v>
      </c>
      <c r="L55" s="1">
        <v>-339.0098876953125</v>
      </c>
      <c r="M55" s="1">
        <v>-200.02581787109375</v>
      </c>
      <c r="P55" s="1">
        <v>-232.19102478027344</v>
      </c>
      <c r="Q55" s="1">
        <v>-97.015861511230469</v>
      </c>
      <c r="R55" s="1">
        <v>-149.859375</v>
      </c>
    </row>
    <row r="56" spans="1:18" x14ac:dyDescent="0.2">
      <c r="A56" s="1">
        <v>316.79412841796875</v>
      </c>
      <c r="B56" s="1">
        <v>761.36279296875</v>
      </c>
      <c r="C56" s="1">
        <v>947.3271484375</v>
      </c>
      <c r="F56" s="1">
        <v>-484.85958862304688</v>
      </c>
      <c r="G56" s="1">
        <v>-146.74539184570312</v>
      </c>
      <c r="H56" s="1">
        <v>455.75021362304688</v>
      </c>
      <c r="K56" s="1">
        <v>45.604019165039062</v>
      </c>
      <c r="L56" s="1">
        <v>-663.35546875</v>
      </c>
      <c r="M56" s="1">
        <v>-76.689628601074219</v>
      </c>
      <c r="P56" s="1">
        <v>-397.704345703125</v>
      </c>
      <c r="Q56" s="1">
        <v>-196.89436340332031</v>
      </c>
      <c r="R56" s="1">
        <v>68.641433715820312</v>
      </c>
    </row>
    <row r="57" spans="1:18" x14ac:dyDescent="0.2">
      <c r="A57" s="1">
        <v>1759.112548828125</v>
      </c>
      <c r="B57" s="1">
        <v>900.0015869140625</v>
      </c>
      <c r="C57" s="1">
        <v>1594.50341796875</v>
      </c>
      <c r="F57" s="1">
        <v>-410.80364990234375</v>
      </c>
      <c r="G57" s="1">
        <v>-67.532928466796875</v>
      </c>
      <c r="H57" s="1">
        <v>863.95086669921875</v>
      </c>
      <c r="K57" s="1">
        <v>348.51937866210938</v>
      </c>
      <c r="L57" s="1">
        <v>-462.35723876953125</v>
      </c>
      <c r="M57" s="1">
        <v>117.38092803955078</v>
      </c>
      <c r="P57" s="1">
        <v>-331.63565063476562</v>
      </c>
      <c r="Q57" s="1">
        <v>-129.90567016601562</v>
      </c>
      <c r="R57" s="1">
        <v>64.603187561035156</v>
      </c>
    </row>
    <row r="58" spans="1:18" x14ac:dyDescent="0.2">
      <c r="A58" s="1">
        <v>2325.54833984375</v>
      </c>
      <c r="B58" s="1">
        <v>1348.3980712890625</v>
      </c>
      <c r="C58" s="1">
        <v>1880.8515625</v>
      </c>
      <c r="F58" s="1">
        <v>29.681970596313477</v>
      </c>
      <c r="G58" s="1">
        <v>-211.41423034667969</v>
      </c>
      <c r="H58" s="1">
        <v>1013.0029907226562</v>
      </c>
      <c r="K58" s="1">
        <v>364.10659790039062</v>
      </c>
      <c r="L58" s="1">
        <v>-120.79655456542969</v>
      </c>
      <c r="M58" s="1">
        <v>212.60772705078125</v>
      </c>
      <c r="P58" s="1">
        <v>4.366661548614502</v>
      </c>
      <c r="Q58" s="1">
        <v>193.9736328125</v>
      </c>
      <c r="R58" s="1">
        <v>-141.82568359375</v>
      </c>
    </row>
    <row r="59" spans="1:18" x14ac:dyDescent="0.2">
      <c r="A59" s="1">
        <v>2795.28076171875</v>
      </c>
      <c r="B59" s="1">
        <v>2121.989990234375</v>
      </c>
      <c r="C59" s="1">
        <v>2060.02001953125</v>
      </c>
      <c r="F59" s="1">
        <v>375.4605712890625</v>
      </c>
      <c r="G59" s="1">
        <v>-271.99081420898438</v>
      </c>
      <c r="H59" s="1">
        <v>1093.81298828125</v>
      </c>
      <c r="K59" s="1">
        <v>659.66253662109375</v>
      </c>
      <c r="L59" s="1">
        <v>171.77975463867188</v>
      </c>
      <c r="M59" s="1">
        <v>51.834537506103516</v>
      </c>
      <c r="P59" s="1">
        <v>272.63458251953125</v>
      </c>
      <c r="Q59" s="1">
        <v>321.77481079101562</v>
      </c>
      <c r="R59" s="1">
        <v>-89.184249877929688</v>
      </c>
    </row>
    <row r="60" spans="1:18" x14ac:dyDescent="0.2">
      <c r="A60" s="1">
        <v>3997.044677734375</v>
      </c>
      <c r="B60" s="1">
        <v>3238.620849609375</v>
      </c>
      <c r="C60" s="1">
        <v>2615.5400390625</v>
      </c>
      <c r="F60" s="1">
        <v>679.1805419921875</v>
      </c>
      <c r="G60" s="1">
        <v>58.916942596435547</v>
      </c>
      <c r="H60" s="1">
        <v>1264.552734375</v>
      </c>
      <c r="K60" s="1">
        <v>1091.187255859375</v>
      </c>
      <c r="L60" s="1">
        <v>535.4498291015625</v>
      </c>
      <c r="M60" s="1">
        <v>377.35821533203125</v>
      </c>
      <c r="P60" s="1">
        <v>338.65640258789062</v>
      </c>
      <c r="Q60" s="1">
        <v>394.88070678710938</v>
      </c>
      <c r="R60" s="1">
        <v>302.58218383789062</v>
      </c>
    </row>
    <row r="61" spans="1:18" x14ac:dyDescent="0.2">
      <c r="A61" s="1">
        <v>5728.97265625</v>
      </c>
      <c r="B61" s="1">
        <v>4543.228515625</v>
      </c>
      <c r="C61" s="1">
        <v>4756.36474609375</v>
      </c>
      <c r="F61" s="1">
        <v>475.74819946289062</v>
      </c>
      <c r="G61" s="1">
        <v>-4.089348316192627</v>
      </c>
      <c r="H61" s="1">
        <v>1715.3704833984375</v>
      </c>
      <c r="K61" s="1">
        <v>1177.9151611328125</v>
      </c>
      <c r="L61" s="1">
        <v>718.057373046875</v>
      </c>
      <c r="M61" s="1">
        <v>599.17877197265625</v>
      </c>
      <c r="P61" s="1">
        <v>373.17434692382812</v>
      </c>
      <c r="Q61" s="1">
        <v>131.549072265625</v>
      </c>
      <c r="R61" s="1">
        <v>689.0908203125</v>
      </c>
    </row>
    <row r="62" spans="1:18" x14ac:dyDescent="0.2">
      <c r="A62" s="1">
        <v>8278.251953125</v>
      </c>
      <c r="B62" s="1">
        <v>7131.2265625</v>
      </c>
      <c r="C62" s="1">
        <v>7949.025390625</v>
      </c>
      <c r="F62" s="1">
        <v>-254.38728332519531</v>
      </c>
      <c r="G62" s="1">
        <v>-27.298765182495117</v>
      </c>
      <c r="H62" s="1">
        <v>1999.344482421875</v>
      </c>
      <c r="K62" s="1">
        <v>1923.7523193359375</v>
      </c>
      <c r="L62" s="1">
        <v>435.07119750976562</v>
      </c>
      <c r="M62" s="1">
        <v>493.76495361328125</v>
      </c>
      <c r="P62" s="1">
        <v>910.0438232421875</v>
      </c>
      <c r="Q62" s="1">
        <v>276.03775024414062</v>
      </c>
      <c r="R62" s="1">
        <v>433.52911376953125</v>
      </c>
    </row>
    <row r="63" spans="1:18" x14ac:dyDescent="0.2">
      <c r="A63" s="1">
        <v>14318.1015625</v>
      </c>
      <c r="B63" s="1">
        <v>13278.654296875</v>
      </c>
      <c r="C63" s="1">
        <v>13405.9912109375</v>
      </c>
      <c r="F63" s="1">
        <v>-295.85089111328125</v>
      </c>
      <c r="G63" s="1">
        <v>260.7730712890625</v>
      </c>
      <c r="H63" s="1">
        <v>2621.232666015625</v>
      </c>
      <c r="K63" s="1">
        <v>3402.605224609375</v>
      </c>
      <c r="L63" s="1">
        <v>570.67877197265625</v>
      </c>
      <c r="M63" s="1">
        <v>1233.2105712890625</v>
      </c>
      <c r="P63" s="1">
        <v>2756.764892578125</v>
      </c>
      <c r="Q63" s="1">
        <v>1018.9248657226562</v>
      </c>
      <c r="R63" s="1">
        <v>696.7252197265625</v>
      </c>
    </row>
    <row r="64" spans="1:18" x14ac:dyDescent="0.2">
      <c r="A64" s="1">
        <v>23783.513671875</v>
      </c>
      <c r="B64" s="1">
        <v>25297.55859375</v>
      </c>
      <c r="C64" s="1">
        <v>23307.33203125</v>
      </c>
      <c r="F64" s="1">
        <v>106.95504760742188</v>
      </c>
      <c r="G64" s="1">
        <v>136.58708190917969</v>
      </c>
      <c r="H64" s="1">
        <v>2773.573974609375</v>
      </c>
      <c r="K64" s="1">
        <v>4582.8017578125</v>
      </c>
      <c r="L64" s="1">
        <v>1237.130126953125</v>
      </c>
      <c r="M64" s="1">
        <v>3006.984130859375</v>
      </c>
      <c r="P64" s="1">
        <v>4866.95068359375</v>
      </c>
      <c r="Q64" s="1">
        <v>1594.67138671875</v>
      </c>
      <c r="R64" s="1">
        <v>2388.43701171875</v>
      </c>
    </row>
    <row r="65" spans="1:18" x14ac:dyDescent="0.2">
      <c r="A65" s="1">
        <v>40909.07421875</v>
      </c>
      <c r="B65" s="1">
        <v>46151.80859375</v>
      </c>
      <c r="C65" s="1">
        <v>41857.1640625</v>
      </c>
      <c r="F65" s="1">
        <v>137.61643981933594</v>
      </c>
      <c r="G65" s="1">
        <v>-164.84107971191406</v>
      </c>
      <c r="H65" s="1">
        <v>2824.8603515625</v>
      </c>
      <c r="K65" s="1">
        <v>5968.48291015625</v>
      </c>
      <c r="L65" s="1">
        <v>2599.737548828125</v>
      </c>
      <c r="M65" s="1">
        <v>4362.2890625</v>
      </c>
      <c r="P65" s="1">
        <v>9074.046875</v>
      </c>
      <c r="Q65" s="1">
        <v>2116.57421875</v>
      </c>
      <c r="R65" s="1">
        <v>4515.19580078125</v>
      </c>
    </row>
    <row r="66" spans="1:18" x14ac:dyDescent="0.2">
      <c r="A66" s="1">
        <v>70582.1171875</v>
      </c>
      <c r="B66" s="1">
        <v>79527.1484375</v>
      </c>
      <c r="C66" s="1">
        <v>73678.515625</v>
      </c>
      <c r="F66" s="1">
        <v>-66.362777709960938</v>
      </c>
      <c r="G66" s="1">
        <v>-296.73800659179688</v>
      </c>
      <c r="H66" s="1">
        <v>3000.92822265625</v>
      </c>
      <c r="K66" s="1">
        <v>9517.3828125</v>
      </c>
      <c r="L66" s="1">
        <v>4251.28271484375</v>
      </c>
      <c r="M66" s="1">
        <v>6136.04736328125</v>
      </c>
      <c r="P66" s="1">
        <v>15824.193359375</v>
      </c>
      <c r="Q66" s="1">
        <v>4515.87548828125</v>
      </c>
      <c r="R66" s="1">
        <v>7696.7197265625</v>
      </c>
    </row>
    <row r="67" spans="1:18" x14ac:dyDescent="0.2">
      <c r="A67" s="1">
        <v>114672.4765625</v>
      </c>
      <c r="B67" s="1">
        <v>128824.4140625</v>
      </c>
      <c r="C67" s="1">
        <v>120628.453125</v>
      </c>
      <c r="F67" s="1">
        <v>-45.392787933349609</v>
      </c>
      <c r="G67" s="1">
        <v>36.193214416503906</v>
      </c>
      <c r="H67" s="1">
        <v>2967.05078125</v>
      </c>
      <c r="K67" s="1">
        <v>15606.5947265625</v>
      </c>
      <c r="L67" s="1">
        <v>6919.96826171875</v>
      </c>
      <c r="M67" s="1">
        <v>10722.5087890625</v>
      </c>
      <c r="P67" s="1">
        <v>25852.42578125</v>
      </c>
      <c r="Q67" s="1">
        <v>8413.6689453125</v>
      </c>
      <c r="R67" s="1">
        <v>12627.517578125</v>
      </c>
    </row>
    <row r="68" spans="1:18" x14ac:dyDescent="0.2">
      <c r="A68" s="1">
        <v>171448.984375</v>
      </c>
      <c r="B68" s="1">
        <v>189372.640625</v>
      </c>
      <c r="C68" s="1">
        <v>179548.09375</v>
      </c>
      <c r="F68" s="1">
        <v>175.22564697265625</v>
      </c>
      <c r="G68" s="1">
        <v>511.76504516601562</v>
      </c>
      <c r="H68" s="1">
        <v>2956.259033203125</v>
      </c>
      <c r="K68" s="1">
        <v>24149.322265625</v>
      </c>
      <c r="L68" s="1">
        <v>11740.623046875</v>
      </c>
      <c r="M68" s="1">
        <v>17741.390625</v>
      </c>
      <c r="P68" s="1">
        <v>40854.20703125</v>
      </c>
      <c r="Q68" s="1">
        <v>13739.9306640625</v>
      </c>
      <c r="R68" s="1">
        <v>20658.267578125</v>
      </c>
    </row>
    <row r="69" spans="1:18" x14ac:dyDescent="0.2">
      <c r="A69" s="1">
        <v>233995.921875</v>
      </c>
      <c r="B69" s="1">
        <v>254159.0625</v>
      </c>
      <c r="C69" s="1">
        <v>244567.21875</v>
      </c>
      <c r="F69" s="1">
        <v>290.82455444335938</v>
      </c>
      <c r="G69" s="1">
        <v>426.19625854492188</v>
      </c>
      <c r="H69" s="1">
        <v>2955.967529296875</v>
      </c>
      <c r="K69" s="1">
        <v>38078.73828125</v>
      </c>
      <c r="L69" s="1">
        <v>19244.38671875</v>
      </c>
      <c r="M69" s="1">
        <v>27849.369140625</v>
      </c>
      <c r="P69" s="1">
        <v>58719.7265625</v>
      </c>
      <c r="Q69" s="1">
        <v>21019.529296875</v>
      </c>
      <c r="R69" s="1">
        <v>31285.27734375</v>
      </c>
    </row>
    <row r="70" spans="1:18" x14ac:dyDescent="0.2">
      <c r="A70" s="1">
        <v>297543.34375</v>
      </c>
      <c r="B70" s="1">
        <v>318709.125</v>
      </c>
      <c r="C70" s="1">
        <v>310506.0625</v>
      </c>
      <c r="F70" s="1">
        <v>425.51718139648438</v>
      </c>
      <c r="G70" s="1">
        <v>215.65089416503906</v>
      </c>
      <c r="H70" s="1">
        <v>3099.355712890625</v>
      </c>
      <c r="K70" s="1">
        <v>57217.21484375</v>
      </c>
      <c r="L70" s="1">
        <v>31789.681640625</v>
      </c>
      <c r="M70" s="1">
        <v>43149.984375</v>
      </c>
      <c r="P70" s="1">
        <v>80601.140625</v>
      </c>
      <c r="Q70" s="1">
        <v>31926.658203125</v>
      </c>
      <c r="R70" s="1">
        <v>44523.33984375</v>
      </c>
    </row>
    <row r="71" spans="1:18" x14ac:dyDescent="0.2">
      <c r="A71" s="1">
        <v>356581.375</v>
      </c>
      <c r="B71" s="1">
        <v>378416.40625</v>
      </c>
      <c r="C71" s="1">
        <v>372040.65625</v>
      </c>
      <c r="F71" s="1">
        <v>331.4637451171875</v>
      </c>
      <c r="G71" s="1">
        <v>56.785232543945312</v>
      </c>
      <c r="H71" s="1">
        <v>3594.915771484375</v>
      </c>
      <c r="K71" s="1">
        <v>81910.4765625</v>
      </c>
      <c r="L71" s="1">
        <v>48342.1328125</v>
      </c>
      <c r="M71" s="1">
        <v>63196.1484375</v>
      </c>
      <c r="P71" s="1">
        <v>105097.296875</v>
      </c>
      <c r="Q71" s="1">
        <v>45086.421875</v>
      </c>
      <c r="R71" s="1">
        <v>59596.99609375</v>
      </c>
    </row>
    <row r="72" spans="1:18" x14ac:dyDescent="0.2">
      <c r="A72" s="1">
        <v>409620.125</v>
      </c>
      <c r="B72" s="1">
        <v>432017.4375</v>
      </c>
      <c r="C72" s="1">
        <v>427683.5625</v>
      </c>
      <c r="F72" s="1">
        <v>363.37905883789062</v>
      </c>
      <c r="G72" s="1">
        <v>98.638313293457031</v>
      </c>
      <c r="H72" s="1">
        <v>3861.0693359375</v>
      </c>
      <c r="K72" s="1">
        <v>108826.15625</v>
      </c>
      <c r="L72" s="1">
        <v>68818.6171875</v>
      </c>
      <c r="M72" s="1">
        <v>86767.765625</v>
      </c>
      <c r="P72" s="1">
        <v>130787.2109375</v>
      </c>
      <c r="Q72" s="1">
        <v>60711.26953125</v>
      </c>
      <c r="R72" s="1">
        <v>77518.46875</v>
      </c>
    </row>
    <row r="73" spans="1:18" x14ac:dyDescent="0.2">
      <c r="A73" s="1">
        <v>451299.5</v>
      </c>
      <c r="B73" s="1">
        <v>472060.125</v>
      </c>
      <c r="C73" s="1">
        <v>469920.15625</v>
      </c>
      <c r="F73" s="1">
        <v>619.61077880859375</v>
      </c>
      <c r="G73" s="1">
        <v>-38.571098327636719</v>
      </c>
      <c r="H73" s="1">
        <v>4466.04345703125</v>
      </c>
      <c r="K73" s="1">
        <v>133635.609375</v>
      </c>
      <c r="L73" s="1">
        <v>89269.2421875</v>
      </c>
      <c r="M73" s="1">
        <v>108657.5703125</v>
      </c>
      <c r="P73" s="1">
        <v>153702.515625</v>
      </c>
      <c r="Q73" s="1">
        <v>76283.7578125</v>
      </c>
      <c r="R73" s="1">
        <v>94433.046875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76"/>
  <sheetViews>
    <sheetView topLeftCell="H1" workbookViewId="0">
      <selection activeCell="U1" sqref="U1:AC36"/>
    </sheetView>
  </sheetViews>
  <sheetFormatPr baseColWidth="10" defaultColWidth="8.83203125" defaultRowHeight="16" x14ac:dyDescent="0.2"/>
  <cols>
    <col min="22" max="22" width="13" customWidth="1"/>
    <col min="23" max="23" width="13.1640625" customWidth="1"/>
    <col min="24" max="24" width="12.1640625" customWidth="1"/>
    <col min="25" max="26" width="12" customWidth="1"/>
    <col min="27" max="27" width="11.5" customWidth="1"/>
    <col min="28" max="28" width="12" customWidth="1"/>
  </cols>
  <sheetData>
    <row r="1" spans="1:29" x14ac:dyDescent="0.2">
      <c r="A1" s="1">
        <v>-1829.8204345703125</v>
      </c>
      <c r="B1" s="1">
        <v>-738.20660400390625</v>
      </c>
      <c r="C1" s="1">
        <v>-953.12701416015625</v>
      </c>
      <c r="F1" s="1">
        <v>1378.121826171875</v>
      </c>
      <c r="G1" s="1">
        <v>-2995.657470703125</v>
      </c>
      <c r="H1" s="1">
        <v>-1002.1752319335938</v>
      </c>
      <c r="K1" s="1">
        <v>-4347.51806640625</v>
      </c>
      <c r="L1" s="1">
        <v>-1235.950927734375</v>
      </c>
      <c r="M1" s="1">
        <v>1081.39306640625</v>
      </c>
      <c r="P1" s="1">
        <v>-969.366455078125</v>
      </c>
      <c r="Q1" s="1">
        <v>-2363.73828125</v>
      </c>
      <c r="R1" s="1">
        <v>-1317.042724609375</v>
      </c>
      <c r="V1" s="2" t="s">
        <v>0</v>
      </c>
      <c r="W1" s="2" t="s">
        <v>1</v>
      </c>
      <c r="X1" s="2" t="s">
        <v>2</v>
      </c>
      <c r="Y1" s="2" t="s">
        <v>3</v>
      </c>
      <c r="Z1" s="2" t="s">
        <v>4</v>
      </c>
      <c r="AA1" s="2" t="s">
        <v>5</v>
      </c>
      <c r="AB1" s="2" t="s">
        <v>6</v>
      </c>
      <c r="AC1" s="2" t="s">
        <v>7</v>
      </c>
    </row>
    <row r="2" spans="1:29" x14ac:dyDescent="0.2">
      <c r="A2" s="1">
        <v>-1480.4833984375</v>
      </c>
      <c r="B2" s="1">
        <v>-276.96051025390625</v>
      </c>
      <c r="C2" s="1">
        <v>-582.132568359375</v>
      </c>
      <c r="F2" s="1">
        <v>134.00753784179688</v>
      </c>
      <c r="G2" s="1">
        <v>-2705.26611328125</v>
      </c>
      <c r="H2" s="1">
        <v>-426.54800415039062</v>
      </c>
      <c r="K2" s="1">
        <v>-2424.174072265625</v>
      </c>
      <c r="L2" s="1">
        <v>-426.890625</v>
      </c>
      <c r="M2" s="1">
        <v>1149.7232666015625</v>
      </c>
      <c r="P2" s="1">
        <v>-580.3062744140625</v>
      </c>
      <c r="Q2" s="1">
        <v>-2400.300048828125</v>
      </c>
      <c r="R2" s="1">
        <v>-966.82281494140625</v>
      </c>
      <c r="U2" s="3">
        <v>1</v>
      </c>
      <c r="V2" s="4">
        <f>AVERAGE(A1:C1)</f>
        <v>-1173.718017578125</v>
      </c>
      <c r="W2" s="4">
        <f>AVERAGE(F1:H1)</f>
        <v>-873.23695882161462</v>
      </c>
      <c r="X2" s="4">
        <f>AVERAGE(K1:M1)</f>
        <v>-1500.6919759114583</v>
      </c>
      <c r="Y2" s="4">
        <f>AVERAGE(P1:R1)</f>
        <v>-1550.0491536458333</v>
      </c>
      <c r="Z2" s="4">
        <f>AVERAGE(A40:C40)</f>
        <v>-143.20551554361978</v>
      </c>
      <c r="AA2" s="4">
        <f>AVERAGE(F40:H40)</f>
        <v>-962.77560424804688</v>
      </c>
      <c r="AB2" s="4">
        <f>AVERAGE(K40:M40)</f>
        <v>-32.469807942708336</v>
      </c>
      <c r="AC2" s="4">
        <f>AVERAGE(P40:R40)</f>
        <v>27.621561686197918</v>
      </c>
    </row>
    <row r="3" spans="1:29" x14ac:dyDescent="0.2">
      <c r="A3" s="1">
        <v>-365.5565185546875</v>
      </c>
      <c r="B3" s="1">
        <v>-32.956596374511719</v>
      </c>
      <c r="C3" s="1">
        <v>196.44773864746094</v>
      </c>
      <c r="F3" s="1">
        <v>-801.87237548828125</v>
      </c>
      <c r="G3" s="1">
        <v>-1094.9140625</v>
      </c>
      <c r="H3" s="1">
        <v>-176.24107360839844</v>
      </c>
      <c r="K3" s="1">
        <v>-609.626708984375</v>
      </c>
      <c r="L3" s="1">
        <v>-277.45535278320312</v>
      </c>
      <c r="M3" s="1">
        <v>340.22525024414062</v>
      </c>
      <c r="P3" s="1">
        <v>-254.51945495605469</v>
      </c>
      <c r="Q3" s="1">
        <v>-1056.9947509765625</v>
      </c>
      <c r="R3" s="1">
        <v>-280.88412475585938</v>
      </c>
      <c r="U3" s="3">
        <v>2</v>
      </c>
      <c r="V3" s="4">
        <f>AVERAGE(A2:C2)</f>
        <v>-779.85882568359375</v>
      </c>
      <c r="W3" s="4">
        <f>AVERAGE(F2:H2)</f>
        <v>-999.26885986328125</v>
      </c>
      <c r="X3" s="4">
        <f>AVERAGE(K2:M2)</f>
        <v>-567.11381022135413</v>
      </c>
      <c r="Y3" s="4">
        <f>AVERAGE(P2:R2)</f>
        <v>-1315.8097127278645</v>
      </c>
      <c r="Z3" s="4">
        <f>AVERAGE(A41:C41)</f>
        <v>-27.805884043375652</v>
      </c>
      <c r="AA3">
        <f>AVERAGEA(F41:H41)</f>
        <v>-411.40463256835938</v>
      </c>
      <c r="AB3" s="4">
        <f>AVERAGE(K41:M41)</f>
        <v>319.70689392089844</v>
      </c>
      <c r="AC3" s="4">
        <f>AVERAGE(P41:R41)</f>
        <v>311.44261678059894</v>
      </c>
    </row>
    <row r="4" spans="1:29" x14ac:dyDescent="0.2">
      <c r="A4" s="1">
        <v>28.292253494262695</v>
      </c>
      <c r="B4" s="1">
        <v>113.23480987548828</v>
      </c>
      <c r="C4" s="1">
        <v>284.168701171875</v>
      </c>
      <c r="F4" s="1">
        <v>-1932.5804443359375</v>
      </c>
      <c r="G4" s="1">
        <v>10.258370399475098</v>
      </c>
      <c r="H4" s="1">
        <v>190.98771667480469</v>
      </c>
      <c r="K4" s="1">
        <v>-469.54037475585938</v>
      </c>
      <c r="L4" s="1">
        <v>15.526785850524902</v>
      </c>
      <c r="M4" s="1">
        <v>123.22731018066406</v>
      </c>
      <c r="P4" s="1">
        <v>33.782955169677734</v>
      </c>
      <c r="Q4" s="1">
        <v>62.763671875</v>
      </c>
      <c r="R4" s="1">
        <v>165.53115844726562</v>
      </c>
      <c r="U4" s="3">
        <v>3</v>
      </c>
      <c r="V4" s="4">
        <f t="shared" ref="V4:V36" si="0">AVERAGE(A3:C3)</f>
        <v>-67.355125427246094</v>
      </c>
      <c r="W4" s="4">
        <f t="shared" ref="W4:W36" si="1">AVERAGE(F3:H3)</f>
        <v>-691.00917053222656</v>
      </c>
      <c r="X4" s="4">
        <f t="shared" ref="X4:X36" si="2">AVERAGE(K3:M3)</f>
        <v>-182.28560384114584</v>
      </c>
      <c r="Y4" s="4">
        <f t="shared" ref="Y4:Y36" si="3">AVERAGE(P3:R3)</f>
        <v>-530.79944356282556</v>
      </c>
      <c r="Z4" s="4">
        <f t="shared" ref="Z4:Z36" si="4">AVERAGE(A42:C42)</f>
        <v>31.596344629923504</v>
      </c>
      <c r="AA4" s="4">
        <f t="shared" ref="AA4" si="5">AVERAGE(F42:H42)</f>
        <v>-59.101313273111977</v>
      </c>
      <c r="AB4" s="4">
        <f t="shared" ref="AB4:AB36" si="6">AVERAGE(K42:M42)</f>
        <v>303.4512990315755</v>
      </c>
      <c r="AC4" s="4">
        <f t="shared" ref="AC4:AC36" si="7">AVERAGE(P42:R42)</f>
        <v>229.91477966308594</v>
      </c>
    </row>
    <row r="5" spans="1:29" x14ac:dyDescent="0.2">
      <c r="A5" s="1">
        <v>469.23867797851562</v>
      </c>
      <c r="B5" s="1">
        <v>43.840278625488281</v>
      </c>
      <c r="C5" s="1">
        <v>209.62403869628906</v>
      </c>
      <c r="F5" s="1">
        <v>747.85992431640625</v>
      </c>
      <c r="G5" s="1">
        <v>687.6729736328125</v>
      </c>
      <c r="H5" s="1">
        <v>73.005577087402344</v>
      </c>
      <c r="K5" s="1">
        <v>-20.024383544921875</v>
      </c>
      <c r="L5" s="1">
        <v>341.13394165039062</v>
      </c>
      <c r="M5" s="1">
        <v>40.291851043701172</v>
      </c>
      <c r="P5" s="1">
        <v>138.96818542480469</v>
      </c>
      <c r="Q5" s="1">
        <v>639.13934326171875</v>
      </c>
      <c r="R5" s="1">
        <v>268.15737915039062</v>
      </c>
      <c r="U5" s="3">
        <v>4</v>
      </c>
      <c r="V5" s="4">
        <f t="shared" si="0"/>
        <v>141.89858818054199</v>
      </c>
      <c r="W5" s="4">
        <f t="shared" si="1"/>
        <v>-577.11145242055261</v>
      </c>
      <c r="X5" s="4">
        <f t="shared" si="2"/>
        <v>-110.26209290822347</v>
      </c>
      <c r="Y5" s="4">
        <f t="shared" si="3"/>
        <v>87.359261830647782</v>
      </c>
      <c r="Z5" s="4">
        <f t="shared" si="4"/>
        <v>-42.944138526916504</v>
      </c>
      <c r="AA5">
        <f t="shared" ref="AA5" si="8">AVERAGEA(F43:H43)</f>
        <v>67.212419191996261</v>
      </c>
      <c r="AB5" s="4">
        <f t="shared" si="6"/>
        <v>232.88839721679688</v>
      </c>
      <c r="AC5" s="4">
        <f t="shared" si="7"/>
        <v>279.29060872395831</v>
      </c>
    </row>
    <row r="6" spans="1:29" x14ac:dyDescent="0.2">
      <c r="A6" s="1">
        <v>-11.244596481323242</v>
      </c>
      <c r="B6" s="1">
        <v>269.17230224609375</v>
      </c>
      <c r="C6" s="1">
        <v>-175.82687377929688</v>
      </c>
      <c r="F6" s="1">
        <v>1999.69091796875</v>
      </c>
      <c r="G6" s="1">
        <v>547.81414794921875</v>
      </c>
      <c r="H6" s="1">
        <v>-94.953125</v>
      </c>
      <c r="K6" s="1">
        <v>379.59317016601562</v>
      </c>
      <c r="L6" s="1">
        <v>230.94419860839844</v>
      </c>
      <c r="M6" s="1">
        <v>-696.15924072265625</v>
      </c>
      <c r="P6" s="1">
        <v>207.10653686523438</v>
      </c>
      <c r="Q6" s="1">
        <v>365.63217163085938</v>
      </c>
      <c r="R6" s="1">
        <v>56.549201965332031</v>
      </c>
      <c r="U6" s="3">
        <v>5</v>
      </c>
      <c r="V6" s="4">
        <f t="shared" si="0"/>
        <v>240.900998433431</v>
      </c>
      <c r="W6" s="4">
        <f t="shared" si="1"/>
        <v>502.84615834554035</v>
      </c>
      <c r="X6" s="4">
        <f t="shared" si="2"/>
        <v>120.46713638305664</v>
      </c>
      <c r="Y6" s="4">
        <f t="shared" si="3"/>
        <v>348.75496927897137</v>
      </c>
      <c r="Z6" s="4">
        <f t="shared" si="4"/>
        <v>-61.067947387695312</v>
      </c>
      <c r="AA6" s="4">
        <f t="shared" ref="AA6" si="9">AVERAGE(F44:H44)</f>
        <v>84.151148478190109</v>
      </c>
      <c r="AB6" s="4">
        <f t="shared" si="6"/>
        <v>172.75258382161459</v>
      </c>
      <c r="AC6" s="4">
        <f t="shared" si="7"/>
        <v>316.02840169270831</v>
      </c>
    </row>
    <row r="7" spans="1:29" x14ac:dyDescent="0.2">
      <c r="A7" s="1">
        <v>-448.39584350585938</v>
      </c>
      <c r="B7" s="1">
        <v>-171.55035400390625</v>
      </c>
      <c r="C7" s="1">
        <v>-469.25433349609375</v>
      </c>
      <c r="F7" s="1">
        <v>1574.60791015625</v>
      </c>
      <c r="G7" s="1">
        <v>660.29913330078125</v>
      </c>
      <c r="H7" s="1">
        <v>-11.732142448425293</v>
      </c>
      <c r="K7" s="1">
        <v>948.98419189453125</v>
      </c>
      <c r="L7" s="1">
        <v>-160.12052917480469</v>
      </c>
      <c r="M7" s="1">
        <v>-485.03216552734375</v>
      </c>
      <c r="P7" s="1">
        <v>-91.825424194335938</v>
      </c>
      <c r="Q7" s="1">
        <v>283.9453125</v>
      </c>
      <c r="R7" s="1">
        <v>-136.2777099609375</v>
      </c>
      <c r="U7" s="3">
        <v>6</v>
      </c>
      <c r="V7" s="4">
        <f t="shared" si="0"/>
        <v>27.366943995157879</v>
      </c>
      <c r="W7" s="4">
        <f t="shared" si="1"/>
        <v>817.51731363932288</v>
      </c>
      <c r="X7" s="4">
        <f t="shared" si="2"/>
        <v>-28.540623982747395</v>
      </c>
      <c r="Y7" s="4">
        <f t="shared" si="3"/>
        <v>209.76263682047525</v>
      </c>
      <c r="Z7" s="4">
        <f t="shared" si="4"/>
        <v>-61.905300140380859</v>
      </c>
      <c r="AA7">
        <f t="shared" ref="AA7" si="10">AVERAGEA(F45:H45)</f>
        <v>3.5534184773763022</v>
      </c>
      <c r="AB7" s="4">
        <f t="shared" si="6"/>
        <v>18.918851216634113</v>
      </c>
      <c r="AC7" s="4">
        <f t="shared" si="7"/>
        <v>443.41721598307294</v>
      </c>
    </row>
    <row r="8" spans="1:29" x14ac:dyDescent="0.2">
      <c r="A8" s="1">
        <v>452.02716064453125</v>
      </c>
      <c r="B8" s="1">
        <v>-440.48394775390625</v>
      </c>
      <c r="C8" s="1">
        <v>-553.09588623046875</v>
      </c>
      <c r="F8" s="1">
        <v>853.44671630859375</v>
      </c>
      <c r="G8" s="1">
        <v>325.02621459960938</v>
      </c>
      <c r="H8" s="1">
        <v>118.80915069580078</v>
      </c>
      <c r="K8" s="1">
        <v>642.25018310546875</v>
      </c>
      <c r="L8" s="1">
        <v>-150.02902221679688</v>
      </c>
      <c r="M8" s="1">
        <v>301.36050415039062</v>
      </c>
      <c r="P8" s="1">
        <v>-73.01519775390625</v>
      </c>
      <c r="Q8" s="1">
        <v>296.35220336914062</v>
      </c>
      <c r="R8" s="1">
        <v>-71.612442016601562</v>
      </c>
      <c r="U8" s="3">
        <v>7</v>
      </c>
      <c r="V8" s="4">
        <f t="shared" si="0"/>
        <v>-363.06684366861981</v>
      </c>
      <c r="W8" s="4">
        <f t="shared" si="1"/>
        <v>741.05830033620202</v>
      </c>
      <c r="X8" s="4">
        <f t="shared" si="2"/>
        <v>101.27716573079427</v>
      </c>
      <c r="Y8" s="4">
        <f t="shared" si="3"/>
        <v>18.614059448242188</v>
      </c>
      <c r="Z8" s="4">
        <f t="shared" si="4"/>
        <v>-327.76609802246094</v>
      </c>
      <c r="AA8" s="4">
        <f t="shared" ref="AA8" si="11">AVERAGE(F46:H46)</f>
        <v>-59.112042744954429</v>
      </c>
      <c r="AB8" s="4">
        <f t="shared" si="6"/>
        <v>-63.998212178548179</v>
      </c>
      <c r="AC8" s="4">
        <f t="shared" si="7"/>
        <v>374.75398635864258</v>
      </c>
    </row>
    <row r="9" spans="1:29" x14ac:dyDescent="0.2">
      <c r="A9" s="1">
        <v>216.59857177734375</v>
      </c>
      <c r="B9" s="1">
        <v>-142.78472900390625</v>
      </c>
      <c r="C9" s="1">
        <v>-429.64834594726562</v>
      </c>
      <c r="F9" s="1">
        <v>-960.1910400390625</v>
      </c>
      <c r="G9" s="1">
        <v>-657.72320556640625</v>
      </c>
      <c r="H9" s="1">
        <v>-99.876113891601562</v>
      </c>
      <c r="K9" s="1">
        <v>232.28962707519531</v>
      </c>
      <c r="L9" s="1">
        <v>313.765625</v>
      </c>
      <c r="M9" s="1">
        <v>314.612548828125</v>
      </c>
      <c r="P9" s="1">
        <v>44.623153686523438</v>
      </c>
      <c r="Q9" s="1">
        <v>199.40754699707031</v>
      </c>
      <c r="R9" s="1">
        <v>-41.923736572265625</v>
      </c>
      <c r="U9" s="3">
        <v>8</v>
      </c>
      <c r="V9" s="4">
        <f t="shared" si="0"/>
        <v>-180.51755777994791</v>
      </c>
      <c r="W9" s="4">
        <f t="shared" si="1"/>
        <v>432.42736053466797</v>
      </c>
      <c r="X9" s="4">
        <f t="shared" si="2"/>
        <v>264.5272216796875</v>
      </c>
      <c r="Y9" s="4">
        <f t="shared" si="3"/>
        <v>50.574854532877602</v>
      </c>
      <c r="Z9" s="4">
        <f t="shared" si="4"/>
        <v>-250.55657958984375</v>
      </c>
      <c r="AA9">
        <f t="shared" ref="AA9" si="12">AVERAGEA(F47:H47)</f>
        <v>-154.35040791829428</v>
      </c>
      <c r="AB9" s="4">
        <f t="shared" si="6"/>
        <v>53.470143795013428</v>
      </c>
      <c r="AC9" s="4">
        <f t="shared" si="7"/>
        <v>489.42664591471356</v>
      </c>
    </row>
    <row r="10" spans="1:29" x14ac:dyDescent="0.2">
      <c r="A10" s="1">
        <v>-28.497982025146484</v>
      </c>
      <c r="B10" s="1">
        <v>155.32855224609375</v>
      </c>
      <c r="C10" s="1">
        <v>456.22885131835938</v>
      </c>
      <c r="F10" s="1">
        <v>-1480.9615478515625</v>
      </c>
      <c r="G10" s="1">
        <v>-478.43359375</v>
      </c>
      <c r="H10" s="1">
        <v>-258.94418334960938</v>
      </c>
      <c r="K10" s="1">
        <v>-278.45999145507812</v>
      </c>
      <c r="L10" s="1">
        <v>855.13836669921875</v>
      </c>
      <c r="M10" s="1">
        <v>61.473957061767578</v>
      </c>
      <c r="P10" s="1">
        <v>150.67556762695312</v>
      </c>
      <c r="Q10" s="1">
        <v>-70.037109375</v>
      </c>
      <c r="R10" s="1">
        <v>40.460285186767578</v>
      </c>
      <c r="U10" s="3">
        <v>9</v>
      </c>
      <c r="V10" s="4">
        <f t="shared" si="0"/>
        <v>-118.6115010579427</v>
      </c>
      <c r="W10" s="4">
        <f t="shared" si="1"/>
        <v>-572.59678649902344</v>
      </c>
      <c r="X10" s="4">
        <f t="shared" si="2"/>
        <v>286.88926696777344</v>
      </c>
      <c r="Y10" s="4">
        <f t="shared" si="3"/>
        <v>67.368988037109375</v>
      </c>
      <c r="Z10" s="4">
        <f t="shared" si="4"/>
        <v>166.83783467610678</v>
      </c>
      <c r="AA10" s="4">
        <f t="shared" ref="AA10" si="13">AVERAGE(F48:H48)</f>
        <v>-190.87000020345053</v>
      </c>
      <c r="AB10" s="4">
        <f t="shared" si="6"/>
        <v>-40.097981770833336</v>
      </c>
      <c r="AC10" s="4">
        <f t="shared" si="7"/>
        <v>484.36496988932294</v>
      </c>
    </row>
    <row r="11" spans="1:29" x14ac:dyDescent="0.2">
      <c r="A11" s="1">
        <v>-312.46173095703125</v>
      </c>
      <c r="B11" s="1">
        <v>206.19964599609375</v>
      </c>
      <c r="C11" s="1">
        <v>481.3560791015625</v>
      </c>
      <c r="F11" s="1">
        <v>-3105.380615234375</v>
      </c>
      <c r="G11" s="1">
        <v>-582.82366943359375</v>
      </c>
      <c r="H11" s="1">
        <v>310.99554443359375</v>
      </c>
      <c r="K11" s="1">
        <v>-348.29556274414062</v>
      </c>
      <c r="L11" s="1">
        <v>1501.8236083984375</v>
      </c>
      <c r="M11" s="1">
        <v>516.08538818359375</v>
      </c>
      <c r="P11" s="1">
        <v>120.96235656738281</v>
      </c>
      <c r="Q11" s="1">
        <v>-720.20831298828125</v>
      </c>
      <c r="R11" s="1">
        <v>-3.3978793621063232</v>
      </c>
      <c r="U11" s="3">
        <v>10</v>
      </c>
      <c r="V11" s="4">
        <f t="shared" si="0"/>
        <v>194.3531405131022</v>
      </c>
      <c r="W11" s="4">
        <f t="shared" si="1"/>
        <v>-739.44644165039062</v>
      </c>
      <c r="X11" s="4">
        <f t="shared" si="2"/>
        <v>212.71744410196939</v>
      </c>
      <c r="Y11" s="4">
        <f t="shared" si="3"/>
        <v>40.366247812906899</v>
      </c>
      <c r="Z11" s="4">
        <f t="shared" si="4"/>
        <v>326.06037648518878</v>
      </c>
      <c r="AA11">
        <f t="shared" ref="AA11" si="14">AVERAGEA(F49:H49)</f>
        <v>-22.56670633951823</v>
      </c>
      <c r="AB11" s="4">
        <f t="shared" si="6"/>
        <v>-116.10357920328777</v>
      </c>
      <c r="AC11" s="4">
        <f t="shared" si="7"/>
        <v>230.94389851888022</v>
      </c>
    </row>
    <row r="12" spans="1:29" x14ac:dyDescent="0.2">
      <c r="A12" s="1">
        <v>281.57846069335938</v>
      </c>
      <c r="B12" s="1">
        <v>353.32855224609375</v>
      </c>
      <c r="C12" s="1">
        <v>382.8739013671875</v>
      </c>
      <c r="F12" s="1">
        <v>-2621.518310546875</v>
      </c>
      <c r="G12" s="1">
        <v>211.51283264160156</v>
      </c>
      <c r="H12" s="1">
        <v>2077.974365234375</v>
      </c>
      <c r="K12" s="1">
        <v>-477.170166015625</v>
      </c>
      <c r="L12" s="1">
        <v>2717.821533203125</v>
      </c>
      <c r="M12" s="1">
        <v>1798.32177734375</v>
      </c>
      <c r="P12" s="1">
        <v>-276.7586669921875</v>
      </c>
      <c r="Q12" s="1">
        <v>-1257.2935791015625</v>
      </c>
      <c r="R12" s="1">
        <v>525.63458251953125</v>
      </c>
      <c r="U12" s="3">
        <v>11</v>
      </c>
      <c r="V12" s="4">
        <f t="shared" si="0"/>
        <v>125.03133138020833</v>
      </c>
      <c r="W12" s="4">
        <f t="shared" si="1"/>
        <v>-1125.7362467447917</v>
      </c>
      <c r="X12" s="4">
        <f t="shared" si="2"/>
        <v>556.53781127929688</v>
      </c>
      <c r="Y12" s="4">
        <f t="shared" si="3"/>
        <v>-200.88127859433493</v>
      </c>
      <c r="Z12" s="4">
        <f t="shared" si="4"/>
        <v>357.2464599609375</v>
      </c>
      <c r="AA12" s="4">
        <f t="shared" ref="AA12" si="15">AVERAGE(F50:H50)</f>
        <v>178.24180714289346</v>
      </c>
      <c r="AB12" s="4">
        <f t="shared" si="6"/>
        <v>-196.28626759847006</v>
      </c>
      <c r="AC12" s="4">
        <f t="shared" si="7"/>
        <v>-51.123003482818604</v>
      </c>
    </row>
    <row r="13" spans="1:29" x14ac:dyDescent="0.2">
      <c r="A13" s="1">
        <v>1628.54833984375</v>
      </c>
      <c r="B13" s="1">
        <v>1932.85595703125</v>
      </c>
      <c r="C13" s="1">
        <v>2010.5323486328125</v>
      </c>
      <c r="F13" s="1">
        <v>-1254.632568359375</v>
      </c>
      <c r="G13" s="1">
        <v>3709.966552734375</v>
      </c>
      <c r="H13" s="1">
        <v>6287.6484375</v>
      </c>
      <c r="K13" s="1">
        <v>-434.2010498046875</v>
      </c>
      <c r="L13" s="1">
        <v>5014.4755859375</v>
      </c>
      <c r="M13" s="1">
        <v>3756.29248046875</v>
      </c>
      <c r="P13" s="1">
        <v>-397.82342529296875</v>
      </c>
      <c r="Q13" s="1">
        <v>-131.61328125</v>
      </c>
      <c r="R13" s="1">
        <v>1166.5966796875</v>
      </c>
      <c r="U13" s="3">
        <v>12</v>
      </c>
      <c r="V13" s="4">
        <f t="shared" si="0"/>
        <v>339.26030476888019</v>
      </c>
      <c r="W13" s="4">
        <f t="shared" si="1"/>
        <v>-110.67703755696614</v>
      </c>
      <c r="X13" s="4">
        <f t="shared" si="2"/>
        <v>1346.3243815104167</v>
      </c>
      <c r="Y13" s="4">
        <f t="shared" si="3"/>
        <v>-336.13922119140625</v>
      </c>
      <c r="Z13" s="4">
        <f t="shared" si="4"/>
        <v>341.11483256022137</v>
      </c>
      <c r="AA13">
        <f t="shared" ref="AA13" si="16">AVERAGEA(F51:H51)</f>
        <v>245.70657602945963</v>
      </c>
      <c r="AB13" s="4">
        <f t="shared" si="6"/>
        <v>-183.666872660319</v>
      </c>
      <c r="AC13" s="4">
        <f t="shared" si="7"/>
        <v>-178.11959966023764</v>
      </c>
    </row>
    <row r="14" spans="1:29" x14ac:dyDescent="0.2">
      <c r="A14" s="1">
        <v>4420.93212890625</v>
      </c>
      <c r="B14" s="1">
        <v>5967.50048828125</v>
      </c>
      <c r="C14" s="1">
        <v>5073.43310546875</v>
      </c>
      <c r="F14" s="1">
        <v>808.3389892578125</v>
      </c>
      <c r="G14" s="1">
        <v>11744.990234375</v>
      </c>
      <c r="H14" s="1">
        <v>14465.298828125</v>
      </c>
      <c r="K14" s="1">
        <v>2028.22119140625</v>
      </c>
      <c r="L14" s="1">
        <v>7523.58251953125</v>
      </c>
      <c r="M14" s="1">
        <v>6925.54443359375</v>
      </c>
      <c r="P14" s="1">
        <v>79.549293518066406</v>
      </c>
      <c r="Q14" s="1">
        <v>1718.4654541015625</v>
      </c>
      <c r="R14" s="1">
        <v>1352.972900390625</v>
      </c>
      <c r="U14" s="3">
        <v>13</v>
      </c>
      <c r="V14" s="4">
        <f t="shared" si="0"/>
        <v>1857.3122151692708</v>
      </c>
      <c r="W14" s="4">
        <f t="shared" si="1"/>
        <v>2914.3274739583335</v>
      </c>
      <c r="X14" s="4">
        <f t="shared" si="2"/>
        <v>2778.855672200521</v>
      </c>
      <c r="Y14" s="4">
        <f t="shared" si="3"/>
        <v>212.38665771484375</v>
      </c>
      <c r="Z14" s="4">
        <f t="shared" si="4"/>
        <v>160.94153849283853</v>
      </c>
      <c r="AA14" s="4">
        <f t="shared" ref="AA14" si="17">AVERAGE(F52:H52)</f>
        <v>58.082806905110679</v>
      </c>
      <c r="AB14" s="4">
        <f t="shared" si="6"/>
        <v>-16.255813598632812</v>
      </c>
      <c r="AC14" s="4">
        <f t="shared" si="7"/>
        <v>35.878611246744789</v>
      </c>
    </row>
    <row r="15" spans="1:29" x14ac:dyDescent="0.2">
      <c r="A15" s="1">
        <v>9964.37890625</v>
      </c>
      <c r="B15" s="1">
        <v>13070.84765625</v>
      </c>
      <c r="C15" s="1">
        <v>10963.255859375</v>
      </c>
      <c r="F15" s="1">
        <v>5431.404296875</v>
      </c>
      <c r="G15" s="1">
        <v>27134.326171875</v>
      </c>
      <c r="H15" s="1">
        <v>30091.73046875</v>
      </c>
      <c r="K15" s="1">
        <v>4946.4716796875</v>
      </c>
      <c r="L15" s="1">
        <v>12504.048828125</v>
      </c>
      <c r="M15" s="1">
        <v>11815.65625</v>
      </c>
      <c r="P15" s="1">
        <v>1089.9376220703125</v>
      </c>
      <c r="Q15" s="1">
        <v>5179.70068359375</v>
      </c>
      <c r="R15" s="1">
        <v>2223.88037109375</v>
      </c>
      <c r="U15" s="3">
        <v>14</v>
      </c>
      <c r="V15" s="4">
        <f t="shared" si="0"/>
        <v>5153.955240885417</v>
      </c>
      <c r="W15" s="4">
        <f t="shared" si="1"/>
        <v>9006.2093505859375</v>
      </c>
      <c r="X15" s="4">
        <f t="shared" si="2"/>
        <v>5492.449381510417</v>
      </c>
      <c r="Y15" s="4">
        <f t="shared" si="3"/>
        <v>1050.329216003418</v>
      </c>
      <c r="Z15" s="4">
        <f t="shared" si="4"/>
        <v>-125.05987040201823</v>
      </c>
      <c r="AA15">
        <f t="shared" ref="AA15" si="18">AVERAGEA(F53:H53)</f>
        <v>-51.290977478027344</v>
      </c>
      <c r="AB15" s="4">
        <f t="shared" si="6"/>
        <v>-104.83433278401692</v>
      </c>
      <c r="AC15" s="4">
        <f t="shared" si="7"/>
        <v>65.87161000569661</v>
      </c>
    </row>
    <row r="16" spans="1:29" x14ac:dyDescent="0.2">
      <c r="A16" s="1">
        <v>22664.06640625</v>
      </c>
      <c r="B16" s="1">
        <v>25304.234375</v>
      </c>
      <c r="C16" s="1">
        <v>23100.328125</v>
      </c>
      <c r="F16" s="1">
        <v>12849.7978515625</v>
      </c>
      <c r="G16" s="1">
        <v>53883.3984375</v>
      </c>
      <c r="H16" s="1">
        <v>58639.015625</v>
      </c>
      <c r="K16" s="1">
        <v>9559.2607421875</v>
      </c>
      <c r="L16" s="1">
        <v>20841.28125</v>
      </c>
      <c r="M16" s="1">
        <v>20560.517578125</v>
      </c>
      <c r="P16" s="1">
        <v>1422.4119873046875</v>
      </c>
      <c r="Q16" s="1">
        <v>10478.115234375</v>
      </c>
      <c r="R16" s="1">
        <v>4026.928466796875</v>
      </c>
      <c r="U16" s="3">
        <v>15</v>
      </c>
      <c r="V16" s="4">
        <f t="shared" si="0"/>
        <v>11332.827473958334</v>
      </c>
      <c r="W16" s="4">
        <f t="shared" si="1"/>
        <v>20885.8203125</v>
      </c>
      <c r="X16" s="4">
        <f t="shared" si="2"/>
        <v>9755.3922526041661</v>
      </c>
      <c r="Y16" s="4">
        <f t="shared" si="3"/>
        <v>2831.172892252604</v>
      </c>
      <c r="Z16" s="4">
        <f t="shared" si="4"/>
        <v>-193.1628557840983</v>
      </c>
      <c r="AA16" s="4">
        <f t="shared" ref="AA16" si="19">AVERAGE(F54:H54)</f>
        <v>67.80920282999675</v>
      </c>
      <c r="AB16" s="4">
        <f t="shared" si="6"/>
        <v>-167.57952117919922</v>
      </c>
      <c r="AC16" s="4">
        <f t="shared" si="7"/>
        <v>-294.34372965494794</v>
      </c>
    </row>
    <row r="17" spans="1:29" x14ac:dyDescent="0.2">
      <c r="A17" s="1">
        <v>43919.109375</v>
      </c>
      <c r="B17" s="1">
        <v>47186.94140625</v>
      </c>
      <c r="C17" s="1">
        <v>43877.55859375</v>
      </c>
      <c r="F17" s="1">
        <v>22112.28515625</v>
      </c>
      <c r="G17" s="1">
        <v>97893.5625</v>
      </c>
      <c r="H17" s="1">
        <v>105687.578125</v>
      </c>
      <c r="K17" s="1">
        <v>19182.30078125</v>
      </c>
      <c r="L17" s="1">
        <v>33890.10546875</v>
      </c>
      <c r="M17" s="1">
        <v>34655.83203125</v>
      </c>
      <c r="P17" s="1">
        <v>3036.91748046875</v>
      </c>
      <c r="Q17" s="1">
        <v>16724.998046875</v>
      </c>
      <c r="R17" s="1">
        <v>7014.8359375</v>
      </c>
      <c r="U17" s="3">
        <v>16</v>
      </c>
      <c r="V17" s="4">
        <f t="shared" si="0"/>
        <v>23689.54296875</v>
      </c>
      <c r="W17" s="4">
        <f t="shared" si="1"/>
        <v>41790.7373046875</v>
      </c>
      <c r="X17" s="4">
        <f t="shared" si="2"/>
        <v>16987.019856770832</v>
      </c>
      <c r="Y17" s="4">
        <f t="shared" si="3"/>
        <v>5309.1518961588545</v>
      </c>
      <c r="Z17" s="4">
        <f t="shared" si="4"/>
        <v>-144.21114603678384</v>
      </c>
      <c r="AA17">
        <f t="shared" ref="AA17" si="20">AVERAGEA(F55:H55)</f>
        <v>57.896367390950523</v>
      </c>
      <c r="AB17" s="4">
        <f t="shared" si="6"/>
        <v>-197.08513387044272</v>
      </c>
      <c r="AC17" s="4">
        <f t="shared" si="7"/>
        <v>-432.80125935872394</v>
      </c>
    </row>
    <row r="18" spans="1:29" x14ac:dyDescent="0.2">
      <c r="A18" s="1">
        <v>76443</v>
      </c>
      <c r="B18" s="1">
        <v>80854.1484375</v>
      </c>
      <c r="C18" s="1">
        <v>77772.1796875</v>
      </c>
      <c r="F18" s="1">
        <v>32883.3828125</v>
      </c>
      <c r="G18" s="1">
        <v>154805.484375</v>
      </c>
      <c r="H18" s="1">
        <v>172499.0625</v>
      </c>
      <c r="K18" s="1">
        <v>32270.79296875</v>
      </c>
      <c r="L18" s="1">
        <v>50918.94921875</v>
      </c>
      <c r="M18" s="1">
        <v>53102.8046875</v>
      </c>
      <c r="P18" s="1">
        <v>5333.8994140625</v>
      </c>
      <c r="Q18" s="1">
        <v>24516.53125</v>
      </c>
      <c r="R18" s="1">
        <v>10178.8603515625</v>
      </c>
      <c r="U18" s="3">
        <v>17</v>
      </c>
      <c r="V18" s="4">
        <f t="shared" si="0"/>
        <v>44994.536458333336</v>
      </c>
      <c r="W18" s="4">
        <f t="shared" si="1"/>
        <v>75231.141927083328</v>
      </c>
      <c r="X18" s="4">
        <f t="shared" si="2"/>
        <v>29242.74609375</v>
      </c>
      <c r="Y18" s="4">
        <f t="shared" si="3"/>
        <v>8925.5838216145839</v>
      </c>
      <c r="Z18" s="4">
        <f t="shared" si="4"/>
        <v>-218.84015846252441</v>
      </c>
      <c r="AA18" s="4">
        <f t="shared" ref="AA18" si="21">AVERAGE(F56:H56)</f>
        <v>-221.52948443094888</v>
      </c>
      <c r="AB18" s="4">
        <f t="shared" si="6"/>
        <v>-335.95533005396527</v>
      </c>
      <c r="AC18" s="4">
        <f t="shared" si="7"/>
        <v>-652.27960205078125</v>
      </c>
    </row>
    <row r="19" spans="1:29" x14ac:dyDescent="0.2">
      <c r="A19" s="1">
        <v>120946.4296875</v>
      </c>
      <c r="B19" s="1">
        <v>126004.4375</v>
      </c>
      <c r="C19" s="1">
        <v>125047.765625</v>
      </c>
      <c r="F19" s="1">
        <v>44193.4765625</v>
      </c>
      <c r="G19" s="1">
        <v>216648.046875</v>
      </c>
      <c r="H19" s="1">
        <v>250073.234375</v>
      </c>
      <c r="K19" s="1">
        <v>48249.59765625</v>
      </c>
      <c r="L19" s="1">
        <v>72887.3671875</v>
      </c>
      <c r="M19" s="1">
        <v>76676.0390625</v>
      </c>
      <c r="P19" s="1">
        <v>7999.3271484375</v>
      </c>
      <c r="Q19" s="1">
        <v>34811.2265625</v>
      </c>
      <c r="R19" s="1">
        <v>15213.611328125</v>
      </c>
      <c r="U19" s="3">
        <v>18</v>
      </c>
      <c r="V19" s="4">
        <f t="shared" si="0"/>
        <v>78356.442708333328</v>
      </c>
      <c r="W19" s="4">
        <f t="shared" si="1"/>
        <v>120062.64322916667</v>
      </c>
      <c r="X19" s="4">
        <f t="shared" si="2"/>
        <v>45430.848958333336</v>
      </c>
      <c r="Y19" s="4">
        <f t="shared" si="3"/>
        <v>13343.097005208334</v>
      </c>
      <c r="Z19" s="4">
        <f t="shared" si="4"/>
        <v>-222.95355892181396</v>
      </c>
      <c r="AA19">
        <f t="shared" ref="AA19" si="22">AVERAGEA(F57:H57)</f>
        <v>31.867574055989582</v>
      </c>
      <c r="AB19" s="4">
        <f t="shared" si="6"/>
        <v>-524.0234375</v>
      </c>
      <c r="AC19" s="4">
        <f t="shared" si="7"/>
        <v>-788.00795491536462</v>
      </c>
    </row>
    <row r="20" spans="1:29" x14ac:dyDescent="0.2">
      <c r="A20" s="1">
        <v>171385.71875</v>
      </c>
      <c r="B20" s="1">
        <v>179019.5</v>
      </c>
      <c r="C20" s="1">
        <v>180722.25</v>
      </c>
      <c r="F20" s="1">
        <v>54560.30859375</v>
      </c>
      <c r="G20" s="1">
        <v>275073.34375</v>
      </c>
      <c r="H20" s="1">
        <v>327055.59375</v>
      </c>
      <c r="K20" s="1">
        <v>67129.703125</v>
      </c>
      <c r="L20" s="1">
        <v>98118.7109375</v>
      </c>
      <c r="M20" s="1">
        <v>102847.4296875</v>
      </c>
      <c r="P20" s="1">
        <v>10418.2626953125</v>
      </c>
      <c r="Q20" s="1">
        <v>47284.65625</v>
      </c>
      <c r="R20" s="1">
        <v>21145.76171875</v>
      </c>
      <c r="U20" s="3">
        <v>19</v>
      </c>
      <c r="V20" s="4">
        <f t="shared" si="0"/>
        <v>123999.54427083333</v>
      </c>
      <c r="W20" s="4">
        <f t="shared" si="1"/>
        <v>170304.91927083334</v>
      </c>
      <c r="X20" s="4">
        <f t="shared" si="2"/>
        <v>65937.66796875</v>
      </c>
      <c r="Y20" s="4">
        <f t="shared" si="3"/>
        <v>19341.388346354168</v>
      </c>
      <c r="Z20" s="4">
        <f t="shared" si="4"/>
        <v>-137.78310139973959</v>
      </c>
      <c r="AA20" s="4">
        <f t="shared" ref="AA20" si="23">AVERAGE(F58:H58)</f>
        <v>406.78284947077435</v>
      </c>
      <c r="AB20" s="4">
        <f t="shared" si="6"/>
        <v>-185.87279256184897</v>
      </c>
      <c r="AC20" s="4">
        <f t="shared" si="7"/>
        <v>-669.09051513671875</v>
      </c>
    </row>
    <row r="21" spans="1:29" x14ac:dyDescent="0.2">
      <c r="A21" s="1">
        <v>223789.5</v>
      </c>
      <c r="B21" s="1">
        <v>233334.40625</v>
      </c>
      <c r="C21" s="1">
        <v>238189.75</v>
      </c>
      <c r="F21" s="1">
        <v>63943.46875</v>
      </c>
      <c r="G21" s="1">
        <v>325896.09375</v>
      </c>
      <c r="H21" s="1">
        <v>396053.125</v>
      </c>
      <c r="K21" s="1">
        <v>87857.4609375</v>
      </c>
      <c r="L21" s="1">
        <v>125624.6640625</v>
      </c>
      <c r="M21" s="1">
        <v>131500.484375</v>
      </c>
      <c r="P21" s="1">
        <v>12076.666015625</v>
      </c>
      <c r="Q21" s="1">
        <v>60229.7734375</v>
      </c>
      <c r="R21" s="1">
        <v>28494.38671875</v>
      </c>
      <c r="U21" s="3">
        <v>20</v>
      </c>
      <c r="V21" s="4">
        <f t="shared" si="0"/>
        <v>177042.48958333334</v>
      </c>
      <c r="W21" s="4">
        <f t="shared" si="1"/>
        <v>218896.41536458334</v>
      </c>
      <c r="X21" s="4">
        <f t="shared" si="2"/>
        <v>89365.28125</v>
      </c>
      <c r="Y21" s="4">
        <f t="shared" si="3"/>
        <v>26282.8935546875</v>
      </c>
      <c r="Z21" s="4">
        <f t="shared" si="4"/>
        <v>-70.276710510253906</v>
      </c>
      <c r="AA21">
        <f t="shared" ref="AA21" si="24">AVERAGEA(F59:H59)</f>
        <v>1091.390848795573</v>
      </c>
      <c r="AB21" s="4">
        <f t="shared" si="6"/>
        <v>208.80389658610025</v>
      </c>
      <c r="AC21" s="4">
        <f t="shared" si="7"/>
        <v>-499.97772216796875</v>
      </c>
    </row>
    <row r="22" spans="1:29" x14ac:dyDescent="0.2">
      <c r="A22" s="1">
        <v>273918.59375</v>
      </c>
      <c r="B22" s="1">
        <v>285915.90625</v>
      </c>
      <c r="C22" s="1">
        <v>294232.625</v>
      </c>
      <c r="F22" s="1">
        <v>71774.625</v>
      </c>
      <c r="G22" s="1">
        <v>369559.5</v>
      </c>
      <c r="H22" s="1">
        <v>455449.5</v>
      </c>
      <c r="K22" s="1">
        <v>109001.84375</v>
      </c>
      <c r="L22" s="1">
        <v>153981.015625</v>
      </c>
      <c r="M22" s="1">
        <v>160696.78125</v>
      </c>
      <c r="P22" s="1">
        <v>14560.859375</v>
      </c>
      <c r="Q22" s="1">
        <v>73510.046875</v>
      </c>
      <c r="R22" s="1">
        <v>35548.8359375</v>
      </c>
      <c r="U22" s="3">
        <v>21</v>
      </c>
      <c r="V22" s="4">
        <f t="shared" si="0"/>
        <v>231771.21875</v>
      </c>
      <c r="W22" s="4">
        <f t="shared" si="1"/>
        <v>261964.22916666666</v>
      </c>
      <c r="X22" s="4">
        <f t="shared" si="2"/>
        <v>114994.203125</v>
      </c>
      <c r="Y22" s="4">
        <f t="shared" si="3"/>
        <v>33600.275390625</v>
      </c>
      <c r="Z22" s="4">
        <f t="shared" si="4"/>
        <v>306.92758941650391</v>
      </c>
      <c r="AA22" s="4">
        <f t="shared" ref="AA22" si="25">AVERAGE(F60:H60)</f>
        <v>1806.7539876302083</v>
      </c>
      <c r="AB22" s="4">
        <f t="shared" si="6"/>
        <v>527.58475748697913</v>
      </c>
      <c r="AC22" s="4">
        <f t="shared" si="7"/>
        <v>-425.54201253255206</v>
      </c>
    </row>
    <row r="23" spans="1:29" x14ac:dyDescent="0.2">
      <c r="A23" s="1">
        <v>320171.8125</v>
      </c>
      <c r="B23" s="1">
        <v>334170.75</v>
      </c>
      <c r="C23" s="1">
        <v>346283.90625</v>
      </c>
      <c r="F23" s="1">
        <v>78382.1796875</v>
      </c>
      <c r="G23" s="1">
        <v>407299.1875</v>
      </c>
      <c r="H23" s="1">
        <v>505801.875</v>
      </c>
      <c r="K23" s="1">
        <v>130965.4765625</v>
      </c>
      <c r="L23" s="1">
        <v>181479</v>
      </c>
      <c r="M23" s="1">
        <v>189401.171875</v>
      </c>
      <c r="P23" s="1">
        <v>17541.193359375</v>
      </c>
      <c r="Q23" s="1">
        <v>87622.7109375</v>
      </c>
      <c r="R23" s="1">
        <v>43976.0390625</v>
      </c>
      <c r="U23" s="3">
        <v>22</v>
      </c>
      <c r="V23" s="4">
        <f t="shared" si="0"/>
        <v>284689.04166666669</v>
      </c>
      <c r="W23" s="4">
        <f t="shared" si="1"/>
        <v>298927.875</v>
      </c>
      <c r="X23" s="4">
        <f t="shared" si="2"/>
        <v>141226.546875</v>
      </c>
      <c r="Y23" s="4">
        <f t="shared" si="3"/>
        <v>41206.580729166664</v>
      </c>
      <c r="Z23" s="4">
        <f t="shared" si="4"/>
        <v>739.53813680013025</v>
      </c>
      <c r="AA23">
        <f t="shared" ref="AA23" si="26">AVERAGEA(F61:H61)</f>
        <v>2520.776123046875</v>
      </c>
      <c r="AB23" s="4">
        <f t="shared" si="6"/>
        <v>651.85518900553382</v>
      </c>
      <c r="AC23" s="4">
        <f t="shared" si="7"/>
        <v>-190.14535776774088</v>
      </c>
    </row>
    <row r="24" spans="1:29" x14ac:dyDescent="0.2">
      <c r="A24" s="1">
        <v>360287.6875</v>
      </c>
      <c r="B24" s="1">
        <v>377039.78125</v>
      </c>
      <c r="C24" s="1">
        <v>393172.34375</v>
      </c>
      <c r="F24" s="1">
        <v>82794.5859375</v>
      </c>
      <c r="G24" s="1">
        <v>438183.78125</v>
      </c>
      <c r="H24" s="1">
        <v>548138.5625</v>
      </c>
      <c r="K24" s="1">
        <v>154631.484375</v>
      </c>
      <c r="L24" s="1">
        <v>208914.203125</v>
      </c>
      <c r="M24" s="1">
        <v>217571.875</v>
      </c>
      <c r="P24" s="1">
        <v>20599.85546875</v>
      </c>
      <c r="Q24" s="1">
        <v>102087.921875</v>
      </c>
      <c r="R24" s="1">
        <v>53962.4921875</v>
      </c>
      <c r="U24" s="3">
        <v>23</v>
      </c>
      <c r="V24" s="4">
        <f t="shared" si="0"/>
        <v>333542.15625</v>
      </c>
      <c r="W24" s="4">
        <f t="shared" si="1"/>
        <v>330494.4140625</v>
      </c>
      <c r="X24" s="4">
        <f t="shared" si="2"/>
        <v>167281.8828125</v>
      </c>
      <c r="Y24" s="4">
        <f t="shared" si="3"/>
        <v>49713.314453125</v>
      </c>
      <c r="Z24" s="4">
        <f t="shared" si="4"/>
        <v>1269.601826985677</v>
      </c>
      <c r="AA24" s="4">
        <f t="shared" ref="AA24" si="27">AVERAGE(F62:H62)</f>
        <v>3692.66796875</v>
      </c>
      <c r="AB24" s="4">
        <f t="shared" si="6"/>
        <v>897.91204833984375</v>
      </c>
      <c r="AC24" s="4">
        <f t="shared" si="7"/>
        <v>-388.29038492838544</v>
      </c>
    </row>
    <row r="25" spans="1:29" x14ac:dyDescent="0.2">
      <c r="A25" s="1">
        <v>395657.25</v>
      </c>
      <c r="B25" s="1">
        <v>415169.4375</v>
      </c>
      <c r="C25" s="1">
        <v>434733.46875</v>
      </c>
      <c r="F25" s="1">
        <v>86624.2265625</v>
      </c>
      <c r="G25" s="1">
        <v>463336.5</v>
      </c>
      <c r="H25" s="1">
        <v>583888.375</v>
      </c>
      <c r="K25" s="1">
        <v>175574.46875</v>
      </c>
      <c r="L25" s="1">
        <v>234581.5625</v>
      </c>
      <c r="M25" s="1">
        <v>244659.140625</v>
      </c>
      <c r="P25" s="1">
        <v>23964.9453125</v>
      </c>
      <c r="Q25" s="1">
        <v>116840.625</v>
      </c>
      <c r="R25" s="1">
        <v>64471.1015625</v>
      </c>
      <c r="U25" s="3">
        <v>24</v>
      </c>
      <c r="V25" s="4">
        <f t="shared" si="0"/>
        <v>376833.27083333331</v>
      </c>
      <c r="W25" s="4">
        <f t="shared" si="1"/>
        <v>356372.30989583331</v>
      </c>
      <c r="X25" s="4">
        <f t="shared" si="2"/>
        <v>193705.85416666666</v>
      </c>
      <c r="Y25" s="4">
        <f t="shared" si="3"/>
        <v>58883.423177083336</v>
      </c>
      <c r="Z25" s="4">
        <f t="shared" si="4"/>
        <v>2536.662841796875</v>
      </c>
      <c r="AA25">
        <f t="shared" ref="AA25" si="28">AVERAGEA(F63:H63)</f>
        <v>6000.7578125</v>
      </c>
      <c r="AB25" s="4">
        <f t="shared" si="6"/>
        <v>1197.9116821289062</v>
      </c>
      <c r="AC25" s="4">
        <f t="shared" si="7"/>
        <v>-420.99271138509113</v>
      </c>
    </row>
    <row r="26" spans="1:29" x14ac:dyDescent="0.2">
      <c r="A26" s="1">
        <v>426911</v>
      </c>
      <c r="B26" s="1">
        <v>448097.375</v>
      </c>
      <c r="C26" s="1">
        <v>470952.34375</v>
      </c>
      <c r="F26" s="1">
        <v>89207.234375</v>
      </c>
      <c r="G26" s="1">
        <v>484110.40625</v>
      </c>
      <c r="H26" s="1">
        <v>613716.5625</v>
      </c>
      <c r="K26" s="1">
        <v>194039.84375</v>
      </c>
      <c r="L26" s="1">
        <v>259134.171875</v>
      </c>
      <c r="M26" s="1">
        <v>268775.28125</v>
      </c>
      <c r="P26" s="1">
        <v>26551.216796875</v>
      </c>
      <c r="Q26" s="1">
        <v>131001.4140625</v>
      </c>
      <c r="R26" s="1">
        <v>74619.9453125</v>
      </c>
      <c r="U26" s="3">
        <v>25</v>
      </c>
      <c r="V26" s="4">
        <f t="shared" si="0"/>
        <v>415186.71875</v>
      </c>
      <c r="W26" s="4">
        <f t="shared" si="1"/>
        <v>377949.70052083331</v>
      </c>
      <c r="X26" s="4">
        <f t="shared" si="2"/>
        <v>218271.72395833334</v>
      </c>
      <c r="Y26" s="4">
        <f t="shared" si="3"/>
        <v>68425.557291666672</v>
      </c>
      <c r="Z26" s="4">
        <f t="shared" si="4"/>
        <v>5205.843668619792</v>
      </c>
      <c r="AA26" s="4">
        <f t="shared" ref="AA26" si="29">AVERAGE(F64:H64)</f>
        <v>10539.284830729166</v>
      </c>
      <c r="AB26" s="4">
        <f t="shared" si="6"/>
        <v>1872.5414632161458</v>
      </c>
      <c r="AC26" s="4">
        <f t="shared" si="7"/>
        <v>-357.54137166341144</v>
      </c>
    </row>
    <row r="27" spans="1:29" x14ac:dyDescent="0.2">
      <c r="A27" s="1">
        <v>454943.78125</v>
      </c>
      <c r="B27" s="1">
        <v>477450.3125</v>
      </c>
      <c r="C27" s="1">
        <v>502734.875</v>
      </c>
      <c r="F27" s="1">
        <v>91460.53125</v>
      </c>
      <c r="G27" s="1">
        <v>502541.90625</v>
      </c>
      <c r="H27" s="1">
        <v>638775.1875</v>
      </c>
      <c r="K27" s="1">
        <v>212707.828125</v>
      </c>
      <c r="L27" s="1">
        <v>282446</v>
      </c>
      <c r="M27" s="1">
        <v>291553.28125</v>
      </c>
      <c r="P27" s="1">
        <v>29501.66015625</v>
      </c>
      <c r="Q27" s="1">
        <v>144812.90625</v>
      </c>
      <c r="R27" s="1">
        <v>86364.5</v>
      </c>
      <c r="U27" s="3">
        <v>26</v>
      </c>
      <c r="V27" s="4">
        <f t="shared" si="0"/>
        <v>448653.57291666669</v>
      </c>
      <c r="W27" s="4">
        <f t="shared" si="1"/>
        <v>395678.06770833331</v>
      </c>
      <c r="X27" s="4">
        <f t="shared" si="2"/>
        <v>240649.765625</v>
      </c>
      <c r="Y27" s="4">
        <f t="shared" si="3"/>
        <v>77390.858723958328</v>
      </c>
      <c r="Z27" s="4">
        <f t="shared" si="4"/>
        <v>10621.631510416666</v>
      </c>
      <c r="AA27">
        <f t="shared" ref="AA27" si="30">AVERAGEA(F65:H65)</f>
        <v>19778.260416666668</v>
      </c>
      <c r="AB27" s="4">
        <f t="shared" si="6"/>
        <v>3292.348388671875</v>
      </c>
      <c r="AC27" s="4">
        <f t="shared" si="7"/>
        <v>-419.43380737304688</v>
      </c>
    </row>
    <row r="28" spans="1:29" x14ac:dyDescent="0.2">
      <c r="A28" s="1">
        <v>478748.15625</v>
      </c>
      <c r="B28" s="1">
        <v>503038.3125</v>
      </c>
      <c r="C28" s="1">
        <v>529978.5</v>
      </c>
      <c r="F28" s="1">
        <v>91643.4140625</v>
      </c>
      <c r="G28" s="1">
        <v>517319.1875</v>
      </c>
      <c r="H28" s="1">
        <v>660909.6875</v>
      </c>
      <c r="K28" s="1">
        <v>230430.765625</v>
      </c>
      <c r="L28" s="1">
        <v>302983.1875</v>
      </c>
      <c r="M28" s="1">
        <v>313587.5625</v>
      </c>
      <c r="P28" s="1">
        <v>32798.5078125</v>
      </c>
      <c r="Q28" s="1">
        <v>158362.140625</v>
      </c>
      <c r="R28" s="1">
        <v>98019.84375</v>
      </c>
      <c r="U28" s="3">
        <v>27</v>
      </c>
      <c r="V28" s="4">
        <f t="shared" si="0"/>
        <v>478376.32291666669</v>
      </c>
      <c r="W28" s="4">
        <f t="shared" si="1"/>
        <v>410925.875</v>
      </c>
      <c r="X28" s="4">
        <f t="shared" si="2"/>
        <v>262235.703125</v>
      </c>
      <c r="Y28" s="4">
        <f t="shared" si="3"/>
        <v>86893.022135416672</v>
      </c>
      <c r="Z28" s="4">
        <f t="shared" si="4"/>
        <v>19054.082682291668</v>
      </c>
      <c r="AA28" s="4">
        <f t="shared" ref="AA28" si="31">AVERAGE(F66:H66)</f>
        <v>35729.365885416664</v>
      </c>
      <c r="AB28" s="4">
        <f t="shared" si="6"/>
        <v>5873.712565104167</v>
      </c>
      <c r="AC28" s="4">
        <f t="shared" si="7"/>
        <v>-228.27413431803384</v>
      </c>
    </row>
    <row r="29" spans="1:29" x14ac:dyDescent="0.2">
      <c r="A29" s="1">
        <v>499493.3125</v>
      </c>
      <c r="B29" s="1">
        <v>525318.3125</v>
      </c>
      <c r="C29" s="1">
        <v>554634.875</v>
      </c>
      <c r="F29" s="1">
        <v>92048.2265625</v>
      </c>
      <c r="G29" s="1">
        <v>529578.1875</v>
      </c>
      <c r="H29" s="1">
        <v>679584</v>
      </c>
      <c r="K29" s="1">
        <v>246469.171875</v>
      </c>
      <c r="L29" s="1">
        <v>323444.25</v>
      </c>
      <c r="M29" s="1">
        <v>334599.15625</v>
      </c>
      <c r="P29" s="1">
        <v>34684.484375</v>
      </c>
      <c r="Q29" s="1">
        <v>171558.890625</v>
      </c>
      <c r="R29" s="1">
        <v>109750.484375</v>
      </c>
      <c r="U29" s="3">
        <v>28</v>
      </c>
      <c r="V29" s="4">
        <f t="shared" si="0"/>
        <v>503921.65625</v>
      </c>
      <c r="W29" s="4">
        <f t="shared" si="1"/>
        <v>423290.76302083331</v>
      </c>
      <c r="X29" s="4">
        <f t="shared" si="2"/>
        <v>282333.83854166669</v>
      </c>
      <c r="Y29" s="4">
        <f t="shared" si="3"/>
        <v>96393.497395833328</v>
      </c>
      <c r="Z29" s="4">
        <f t="shared" si="4"/>
        <v>35100.2734375</v>
      </c>
      <c r="AA29">
        <f t="shared" ref="AA29" si="32">AVERAGEA(F67:H67)</f>
        <v>63493.690104166664</v>
      </c>
      <c r="AB29" s="4">
        <f t="shared" si="6"/>
        <v>10146.525065104166</v>
      </c>
      <c r="AC29" s="4">
        <f t="shared" si="7"/>
        <v>38.106880187988281</v>
      </c>
    </row>
    <row r="30" spans="1:29" x14ac:dyDescent="0.2">
      <c r="A30" s="1">
        <v>518065.40625</v>
      </c>
      <c r="B30" s="1">
        <v>545974.875</v>
      </c>
      <c r="C30" s="1">
        <v>576398.625</v>
      </c>
      <c r="F30" s="1">
        <v>91797.9296875</v>
      </c>
      <c r="G30" s="1">
        <v>540193.5625</v>
      </c>
      <c r="H30" s="1">
        <v>694748.1875</v>
      </c>
      <c r="K30" s="1">
        <v>260875</v>
      </c>
      <c r="L30" s="1">
        <v>342021.71875</v>
      </c>
      <c r="M30" s="1">
        <v>353154.0625</v>
      </c>
      <c r="P30" s="1">
        <v>35875.48828125</v>
      </c>
      <c r="Q30" s="1">
        <v>184843.078125</v>
      </c>
      <c r="R30" s="1">
        <v>121002.546875</v>
      </c>
      <c r="U30" s="3">
        <v>29</v>
      </c>
      <c r="V30" s="4">
        <f t="shared" si="0"/>
        <v>526482.16666666663</v>
      </c>
      <c r="W30" s="4">
        <f t="shared" si="1"/>
        <v>433736.8046875</v>
      </c>
      <c r="X30" s="4">
        <f t="shared" si="2"/>
        <v>301504.19270833331</v>
      </c>
      <c r="Y30" s="4">
        <f t="shared" si="3"/>
        <v>105331.28645833333</v>
      </c>
      <c r="Z30" s="4">
        <f t="shared" si="4"/>
        <v>62244.1328125</v>
      </c>
      <c r="AA30" s="4">
        <f t="shared" ref="AA30" si="33">AVERAGE(F68:H68)</f>
        <v>107245.93489583333</v>
      </c>
      <c r="AB30" s="4">
        <f t="shared" si="6"/>
        <v>16853.128255208332</v>
      </c>
      <c r="AC30" s="4">
        <f t="shared" si="7"/>
        <v>73.021748860677079</v>
      </c>
    </row>
    <row r="31" spans="1:29" x14ac:dyDescent="0.2">
      <c r="A31" s="1">
        <v>534816.25</v>
      </c>
      <c r="B31" s="1">
        <v>564434.25</v>
      </c>
      <c r="C31" s="1">
        <v>595426.4375</v>
      </c>
      <c r="F31" s="1">
        <v>90402.15625</v>
      </c>
      <c r="G31" s="1">
        <v>548588.875</v>
      </c>
      <c r="H31" s="1">
        <v>708003.5</v>
      </c>
      <c r="K31" s="1">
        <v>274128.65625</v>
      </c>
      <c r="L31" s="1">
        <v>359460.40625</v>
      </c>
      <c r="M31" s="1">
        <v>370688.25</v>
      </c>
      <c r="P31" s="1">
        <v>37404.01171875</v>
      </c>
      <c r="Q31" s="1">
        <v>196509.90625</v>
      </c>
      <c r="R31" s="1">
        <v>132341.453125</v>
      </c>
      <c r="U31" s="3">
        <v>30</v>
      </c>
      <c r="V31" s="4">
        <f t="shared" si="0"/>
        <v>546812.96875</v>
      </c>
      <c r="W31" s="4">
        <f t="shared" si="1"/>
        <v>442246.55989583331</v>
      </c>
      <c r="X31" s="4">
        <f t="shared" si="2"/>
        <v>318683.59375</v>
      </c>
      <c r="Y31" s="4">
        <f t="shared" si="3"/>
        <v>113907.03776041667</v>
      </c>
      <c r="Z31" s="4">
        <f t="shared" si="4"/>
        <v>103706.453125</v>
      </c>
      <c r="AA31">
        <f t="shared" ref="AA31" si="34">AVERAGEA(F69:H69)</f>
        <v>165887.578125</v>
      </c>
      <c r="AB31" s="4">
        <f t="shared" si="6"/>
        <v>28491.8046875</v>
      </c>
      <c r="AC31" s="4">
        <f t="shared" si="7"/>
        <v>183.93140411376953</v>
      </c>
    </row>
    <row r="32" spans="1:29" x14ac:dyDescent="0.2">
      <c r="A32" s="1">
        <v>549184.125</v>
      </c>
      <c r="B32" s="1">
        <v>579844</v>
      </c>
      <c r="C32" s="1">
        <v>612413.875</v>
      </c>
      <c r="F32" s="1">
        <v>88420.171875</v>
      </c>
      <c r="G32" s="1">
        <v>555028.625</v>
      </c>
      <c r="H32" s="1">
        <v>719408.0625</v>
      </c>
      <c r="K32" s="1">
        <v>285805</v>
      </c>
      <c r="L32" s="1">
        <v>373916.6875</v>
      </c>
      <c r="M32" s="1">
        <v>386672.9375</v>
      </c>
      <c r="P32" s="1">
        <v>39295.6640625</v>
      </c>
      <c r="Q32" s="1">
        <v>207196.703125</v>
      </c>
      <c r="R32" s="1">
        <v>143260.296875</v>
      </c>
      <c r="U32" s="3">
        <v>31</v>
      </c>
      <c r="V32" s="4">
        <f t="shared" si="0"/>
        <v>564892.3125</v>
      </c>
      <c r="W32" s="4">
        <f t="shared" si="1"/>
        <v>448998.17708333331</v>
      </c>
      <c r="X32" s="4">
        <f t="shared" si="2"/>
        <v>334759.10416666669</v>
      </c>
      <c r="Y32" s="4">
        <f t="shared" si="3"/>
        <v>122085.12369791667</v>
      </c>
      <c r="Z32" s="4">
        <f t="shared" si="4"/>
        <v>157481.07291666666</v>
      </c>
      <c r="AA32" s="4">
        <f t="shared" ref="AA32" si="35">AVERAGE(F70:H70)</f>
        <v>231558.47395833334</v>
      </c>
      <c r="AB32" s="4">
        <f t="shared" si="6"/>
        <v>45086.924479166664</v>
      </c>
      <c r="AC32" s="4">
        <f t="shared" si="7"/>
        <v>489.38534037272137</v>
      </c>
    </row>
    <row r="33" spans="1:29" x14ac:dyDescent="0.2">
      <c r="A33" s="1">
        <v>561945.75</v>
      </c>
      <c r="B33" s="1">
        <v>594040.5625</v>
      </c>
      <c r="C33" s="1">
        <v>627213.3125</v>
      </c>
      <c r="F33" s="1">
        <v>85261.09375</v>
      </c>
      <c r="G33" s="1">
        <v>559717.5</v>
      </c>
      <c r="H33" s="1">
        <v>728990.75</v>
      </c>
      <c r="K33" s="1">
        <v>297545.875</v>
      </c>
      <c r="L33" s="1">
        <v>389509.875</v>
      </c>
      <c r="M33" s="1">
        <v>402558.65625</v>
      </c>
      <c r="P33" s="1">
        <v>40479.5390625</v>
      </c>
      <c r="Q33" s="1">
        <v>218461.484375</v>
      </c>
      <c r="R33" s="1">
        <v>154316.546875</v>
      </c>
      <c r="U33" s="3">
        <v>32</v>
      </c>
      <c r="V33" s="4">
        <f t="shared" si="0"/>
        <v>580480.66666666663</v>
      </c>
      <c r="W33" s="4">
        <f t="shared" si="1"/>
        <v>454285.61979166669</v>
      </c>
      <c r="X33" s="4">
        <f t="shared" si="2"/>
        <v>348798.20833333331</v>
      </c>
      <c r="Y33" s="4">
        <f t="shared" si="3"/>
        <v>129917.5546875</v>
      </c>
      <c r="Z33" s="4">
        <f t="shared" si="4"/>
        <v>218156.85416666666</v>
      </c>
      <c r="AA33">
        <f t="shared" ref="AA33" si="36">AVERAGEA(F71:H71)</f>
        <v>296652.10416666669</v>
      </c>
      <c r="AB33" s="4">
        <f t="shared" si="6"/>
        <v>67986.3671875</v>
      </c>
      <c r="AC33" s="4">
        <f t="shared" si="7"/>
        <v>313.321044921875</v>
      </c>
    </row>
    <row r="34" spans="1:29" x14ac:dyDescent="0.2">
      <c r="A34" s="1">
        <v>573476.5625</v>
      </c>
      <c r="B34" s="1">
        <v>606427.0625</v>
      </c>
      <c r="C34" s="1">
        <v>640824.125</v>
      </c>
      <c r="F34" s="1">
        <v>83490.0078125</v>
      </c>
      <c r="G34" s="1">
        <v>563974.75</v>
      </c>
      <c r="H34" s="1">
        <v>737139.0625</v>
      </c>
      <c r="K34" s="1">
        <v>308362.9375</v>
      </c>
      <c r="L34" s="1">
        <v>402896.6875</v>
      </c>
      <c r="M34" s="1">
        <v>416335.15625</v>
      </c>
      <c r="P34" s="1">
        <v>41511.74609375</v>
      </c>
      <c r="Q34" s="1">
        <v>228676.03125</v>
      </c>
      <c r="R34" s="1">
        <v>164649.0625</v>
      </c>
      <c r="U34" s="3">
        <v>33</v>
      </c>
      <c r="V34" s="4">
        <f t="shared" si="0"/>
        <v>594399.875</v>
      </c>
      <c r="W34" s="4">
        <f t="shared" si="1"/>
        <v>457989.78125</v>
      </c>
      <c r="X34" s="4">
        <f t="shared" si="2"/>
        <v>363204.80208333331</v>
      </c>
      <c r="Y34" s="4">
        <f t="shared" si="3"/>
        <v>137752.5234375</v>
      </c>
      <c r="Z34" s="4">
        <f t="shared" si="4"/>
        <v>280525.84375</v>
      </c>
      <c r="AA34" s="4">
        <f t="shared" ref="AA34" si="37">AVERAGE(F72:H72)</f>
        <v>354829.40625</v>
      </c>
      <c r="AB34" s="4">
        <f t="shared" si="6"/>
        <v>95526.044270833328</v>
      </c>
      <c r="AC34" s="4">
        <f t="shared" si="7"/>
        <v>599.54579544067383</v>
      </c>
    </row>
    <row r="35" spans="1:29" x14ac:dyDescent="0.2">
      <c r="A35" s="1">
        <v>582458.5625</v>
      </c>
      <c r="B35" s="1">
        <v>616236.625</v>
      </c>
      <c r="C35" s="1">
        <v>651024.4375</v>
      </c>
      <c r="F35" s="1">
        <v>83058.8515625</v>
      </c>
      <c r="G35" s="1">
        <v>566620.1875</v>
      </c>
      <c r="H35" s="1">
        <v>742551</v>
      </c>
      <c r="K35" s="1">
        <v>317617.21875</v>
      </c>
      <c r="L35" s="1">
        <v>413573.125</v>
      </c>
      <c r="M35" s="1">
        <v>427799.625</v>
      </c>
      <c r="P35" s="1">
        <v>43440.3125</v>
      </c>
      <c r="Q35" s="1">
        <v>237572.5</v>
      </c>
      <c r="R35" s="1">
        <v>173566.671875</v>
      </c>
      <c r="U35" s="3">
        <v>34</v>
      </c>
      <c r="V35" s="4">
        <f t="shared" si="0"/>
        <v>606909.25</v>
      </c>
      <c r="W35" s="4">
        <f t="shared" si="1"/>
        <v>461534.60677083331</v>
      </c>
      <c r="X35" s="4">
        <f t="shared" si="2"/>
        <v>375864.92708333331</v>
      </c>
      <c r="Y35" s="4">
        <f t="shared" si="3"/>
        <v>144945.61328125</v>
      </c>
      <c r="Z35" s="4">
        <f t="shared" si="4"/>
        <v>339729.69791666669</v>
      </c>
      <c r="AA35">
        <f t="shared" ref="AA35" si="38">AVERAGEA(F73:H73)</f>
        <v>404856.69791666669</v>
      </c>
      <c r="AB35" s="4">
        <f t="shared" si="6"/>
        <v>126105.0390625</v>
      </c>
      <c r="AC35" s="4">
        <f t="shared" si="7"/>
        <v>1348.7601725260417</v>
      </c>
    </row>
    <row r="36" spans="1:29" x14ac:dyDescent="0.2">
      <c r="U36" s="3">
        <v>35</v>
      </c>
      <c r="V36" s="4">
        <f t="shared" si="0"/>
        <v>616573.20833333337</v>
      </c>
      <c r="W36" s="4">
        <f t="shared" si="1"/>
        <v>464076.6796875</v>
      </c>
      <c r="X36" s="4">
        <f t="shared" si="2"/>
        <v>386329.98958333331</v>
      </c>
      <c r="Y36" s="4">
        <f t="shared" si="3"/>
        <v>151526.49479166666</v>
      </c>
      <c r="Z36" s="4">
        <f t="shared" si="4"/>
        <v>386422.32291666669</v>
      </c>
      <c r="AA36" s="4">
        <f t="shared" ref="AA36" si="39">AVERAGE(F74:H74)</f>
        <v>441443.83333333331</v>
      </c>
      <c r="AB36" s="4">
        <f t="shared" si="6"/>
        <v>153827.73958333334</v>
      </c>
      <c r="AC36" s="4">
        <f t="shared" si="7"/>
        <v>1792.6307779947917</v>
      </c>
    </row>
    <row r="40" spans="1:29" x14ac:dyDescent="0.2">
      <c r="A40" s="1">
        <v>153.35643005371094</v>
      </c>
      <c r="B40" s="1">
        <v>198.81388854980469</v>
      </c>
      <c r="C40" s="1">
        <v>-781.786865234375</v>
      </c>
      <c r="F40" s="1">
        <v>-1643.4332275390625</v>
      </c>
      <c r="G40" s="1">
        <v>-1086.4315185546875</v>
      </c>
      <c r="H40" s="1">
        <v>-158.46206665039062</v>
      </c>
      <c r="K40" s="1">
        <v>1097.61083984375</v>
      </c>
      <c r="L40" s="1">
        <v>-512.7476806640625</v>
      </c>
      <c r="M40" s="1">
        <v>-682.2725830078125</v>
      </c>
      <c r="P40" s="1">
        <v>-1179.105224609375</v>
      </c>
      <c r="Q40" s="1">
        <v>-540.23101806640625</v>
      </c>
      <c r="R40" s="1">
        <v>1802.200927734375</v>
      </c>
    </row>
    <row r="41" spans="1:29" x14ac:dyDescent="0.2">
      <c r="A41" s="1">
        <v>102.20294952392578</v>
      </c>
      <c r="B41" s="1">
        <v>29.657886505126953</v>
      </c>
      <c r="C41" s="1">
        <v>-215.27848815917969</v>
      </c>
      <c r="F41" s="1">
        <v>-1161.4080810546875</v>
      </c>
      <c r="G41" s="1">
        <v>-438.90908813476562</v>
      </c>
      <c r="H41" s="1">
        <v>366.103271484375</v>
      </c>
      <c r="K41" s="1">
        <v>1268.9766845703125</v>
      </c>
      <c r="L41" s="1">
        <v>73.382217407226562</v>
      </c>
      <c r="M41" s="1">
        <v>-383.23822021484375</v>
      </c>
      <c r="P41" s="1">
        <v>-451.263916015625</v>
      </c>
      <c r="Q41" s="1">
        <v>-348.92861938476562</v>
      </c>
      <c r="R41" s="1">
        <v>1734.5203857421875</v>
      </c>
    </row>
    <row r="42" spans="1:29" x14ac:dyDescent="0.2">
      <c r="A42" s="1">
        <v>16.854166030883789</v>
      </c>
      <c r="B42" s="1">
        <v>-91.623115539550781</v>
      </c>
      <c r="C42" s="1">
        <v>169.5579833984375</v>
      </c>
      <c r="F42" s="1">
        <v>-435.5546875</v>
      </c>
      <c r="G42" s="1">
        <v>-131.01161193847656</v>
      </c>
      <c r="H42" s="1">
        <v>389.26235961914062</v>
      </c>
      <c r="K42" s="1">
        <v>743.811279296875</v>
      </c>
      <c r="L42" s="1">
        <v>325.07461547851562</v>
      </c>
      <c r="M42" s="1">
        <v>-158.53199768066406</v>
      </c>
      <c r="P42" s="1">
        <v>-138.57098388671875</v>
      </c>
      <c r="Q42" s="1">
        <v>-228.38401794433594</v>
      </c>
      <c r="R42" s="1">
        <v>1056.6993408203125</v>
      </c>
    </row>
    <row r="43" spans="1:29" x14ac:dyDescent="0.2">
      <c r="A43" s="1">
        <v>23.200693130493164</v>
      </c>
      <c r="B43" s="1">
        <v>-4.7322359085083008</v>
      </c>
      <c r="C43" s="1">
        <v>-147.30087280273438</v>
      </c>
      <c r="F43" s="1">
        <v>-139.02946472167969</v>
      </c>
      <c r="G43" s="1">
        <v>14.354619026184082</v>
      </c>
      <c r="H43" s="1">
        <v>326.31210327148438</v>
      </c>
      <c r="K43" s="1">
        <v>351.44271850585938</v>
      </c>
      <c r="L43" s="1">
        <v>495.53262329101562</v>
      </c>
      <c r="M43" s="1">
        <v>-148.31015014648438</v>
      </c>
      <c r="P43" s="1">
        <v>-324.5421142578125</v>
      </c>
      <c r="Q43" s="1">
        <v>296.98089599609375</v>
      </c>
      <c r="R43" s="1">
        <v>865.43304443359375</v>
      </c>
    </row>
    <row r="44" spans="1:29" x14ac:dyDescent="0.2">
      <c r="A44" s="1">
        <v>282.25033569335938</v>
      </c>
      <c r="B44" s="1">
        <v>-154.65385437011719</v>
      </c>
      <c r="C44" s="1">
        <v>-310.80032348632812</v>
      </c>
      <c r="F44" s="1">
        <v>554.41766357421875</v>
      </c>
      <c r="G44" s="1">
        <v>-171.40415954589844</v>
      </c>
      <c r="H44" s="1">
        <v>-130.56005859375</v>
      </c>
      <c r="K44" s="1">
        <v>331.77728271484375</v>
      </c>
      <c r="L44" s="1">
        <v>325.80313110351562</v>
      </c>
      <c r="M44" s="1">
        <v>-139.32266235351562</v>
      </c>
      <c r="P44" s="1">
        <v>-365.93511962890625</v>
      </c>
      <c r="Q44" s="1">
        <v>311.9942626953125</v>
      </c>
      <c r="R44" s="1">
        <v>1002.0260620117188</v>
      </c>
    </row>
    <row r="45" spans="1:29" x14ac:dyDescent="0.2">
      <c r="A45" s="1">
        <v>120.39374542236328</v>
      </c>
      <c r="B45" s="1">
        <v>-270.50515747070312</v>
      </c>
      <c r="C45" s="1">
        <v>-35.604488372802734</v>
      </c>
      <c r="F45" s="1">
        <v>726.42724609375</v>
      </c>
      <c r="G45" s="1">
        <v>-120.08480072021484</v>
      </c>
      <c r="H45" s="1">
        <v>-595.68218994140625</v>
      </c>
      <c r="K45" s="1">
        <v>103.23683929443359</v>
      </c>
      <c r="L45" s="1">
        <v>203.43302917480469</v>
      </c>
      <c r="M45" s="1">
        <v>-249.91331481933594</v>
      </c>
      <c r="P45" s="1">
        <v>-139.7890625</v>
      </c>
      <c r="Q45" s="1">
        <v>293.93731689453125</v>
      </c>
      <c r="R45" s="1">
        <v>1176.1033935546875</v>
      </c>
    </row>
    <row r="46" spans="1:29" x14ac:dyDescent="0.2">
      <c r="A46" s="1">
        <v>-499.78317260742188</v>
      </c>
      <c r="B46" s="1">
        <v>-398.95803833007812</v>
      </c>
      <c r="C46" s="1">
        <v>-84.557083129882812</v>
      </c>
      <c r="F46" s="1">
        <v>223.60870361328125</v>
      </c>
      <c r="G46" s="1">
        <v>86.750175476074219</v>
      </c>
      <c r="H46" s="1">
        <v>-487.69500732421875</v>
      </c>
      <c r="K46" s="1">
        <v>168.9620361328125</v>
      </c>
      <c r="L46" s="1">
        <v>-297.87457275390625</v>
      </c>
      <c r="M46" s="1">
        <v>-63.082099914550781</v>
      </c>
      <c r="P46" s="1">
        <v>-8.0336341857910156</v>
      </c>
      <c r="Q46" s="1">
        <v>553.11474609375</v>
      </c>
      <c r="R46" s="1">
        <v>579.18084716796875</v>
      </c>
    </row>
    <row r="47" spans="1:29" x14ac:dyDescent="0.2">
      <c r="A47" s="1">
        <v>-564.5616455078125</v>
      </c>
      <c r="B47" s="1">
        <v>-255.23904418945312</v>
      </c>
      <c r="C47" s="1">
        <v>68.130950927734375</v>
      </c>
      <c r="F47" s="1">
        <v>-577.9754638671875</v>
      </c>
      <c r="G47" s="1">
        <v>179.38201904296875</v>
      </c>
      <c r="H47" s="1">
        <v>-64.457778930664062</v>
      </c>
      <c r="K47" s="1">
        <v>-1.0940241813659668</v>
      </c>
      <c r="L47" s="1">
        <v>-406.41656494140625</v>
      </c>
      <c r="M47" s="1">
        <v>567.9210205078125</v>
      </c>
      <c r="P47" s="1">
        <v>477.9952392578125</v>
      </c>
      <c r="Q47" s="1">
        <v>580.1593017578125</v>
      </c>
      <c r="R47" s="1">
        <v>410.12539672851562</v>
      </c>
    </row>
    <row r="48" spans="1:29" x14ac:dyDescent="0.2">
      <c r="A48" s="1">
        <v>-165.66043090820312</v>
      </c>
      <c r="B48" s="1">
        <v>497.22213745117188</v>
      </c>
      <c r="C48" s="1">
        <v>168.95179748535156</v>
      </c>
      <c r="F48" s="1">
        <v>-618.5595703125</v>
      </c>
      <c r="G48" s="1">
        <v>50.607624053955078</v>
      </c>
      <c r="H48" s="1">
        <v>-4.6580543518066406</v>
      </c>
      <c r="K48" s="1">
        <v>-528.75946044921875</v>
      </c>
      <c r="L48" s="1">
        <v>-250.81793212890625</v>
      </c>
      <c r="M48" s="1">
        <v>659.283447265625</v>
      </c>
      <c r="P48" s="1">
        <v>595.12567138671875</v>
      </c>
      <c r="Q48" s="1">
        <v>437.67269897460938</v>
      </c>
      <c r="R48" s="1">
        <v>420.29653930664062</v>
      </c>
    </row>
    <row r="49" spans="1:18" x14ac:dyDescent="0.2">
      <c r="A49" s="1">
        <v>94.959541320800781</v>
      </c>
      <c r="B49" s="1">
        <v>460.40206909179688</v>
      </c>
      <c r="C49" s="1">
        <v>422.81951904296875</v>
      </c>
      <c r="F49" s="1">
        <v>-152.59687805175781</v>
      </c>
      <c r="G49" s="1">
        <v>-85.198028564453125</v>
      </c>
      <c r="H49" s="1">
        <v>170.09478759765625</v>
      </c>
      <c r="K49" s="1">
        <v>-495.94052124023438</v>
      </c>
      <c r="L49" s="1">
        <v>41.999465942382812</v>
      </c>
      <c r="M49" s="1">
        <v>105.63031768798828</v>
      </c>
      <c r="P49" s="1">
        <v>479.084228515625</v>
      </c>
      <c r="Q49" s="1">
        <v>290.96728515625</v>
      </c>
      <c r="R49" s="1">
        <v>-77.219818115234375</v>
      </c>
    </row>
    <row r="50" spans="1:18" x14ac:dyDescent="0.2">
      <c r="A50" s="1">
        <v>381.73574829101562</v>
      </c>
      <c r="B50" s="1">
        <v>359.64453125</v>
      </c>
      <c r="C50" s="1">
        <v>330.35910034179688</v>
      </c>
      <c r="F50" s="1">
        <v>6.9439730644226074</v>
      </c>
      <c r="G50" s="1">
        <v>71.277572631835938</v>
      </c>
      <c r="H50" s="1">
        <v>456.50387573242188</v>
      </c>
      <c r="K50" s="1">
        <v>-494.07470703125</v>
      </c>
      <c r="L50" s="1">
        <v>108.81685638427734</v>
      </c>
      <c r="M50" s="1">
        <v>-203.6009521484375</v>
      </c>
      <c r="P50" s="1">
        <v>196.44120788574219</v>
      </c>
      <c r="Q50" s="1">
        <v>-4.355292797088623</v>
      </c>
      <c r="R50" s="1">
        <v>-345.45492553710938</v>
      </c>
    </row>
    <row r="51" spans="1:18" x14ac:dyDescent="0.2">
      <c r="A51" s="1">
        <v>434.144775390625</v>
      </c>
      <c r="B51" s="1">
        <v>412.613525390625</v>
      </c>
      <c r="C51" s="1">
        <v>176.58619689941406</v>
      </c>
      <c r="F51" s="1">
        <v>115.42232513427734</v>
      </c>
      <c r="G51" s="1">
        <v>407.893798828125</v>
      </c>
      <c r="H51" s="1">
        <v>213.80360412597656</v>
      </c>
      <c r="K51" s="1">
        <v>-233.31825256347656</v>
      </c>
      <c r="L51" s="1">
        <v>-225.39700317382812</v>
      </c>
      <c r="M51" s="1">
        <v>-92.285362243652344</v>
      </c>
      <c r="P51" s="1">
        <v>206.59507751464844</v>
      </c>
      <c r="Q51" s="1">
        <v>-42.810688018798828</v>
      </c>
      <c r="R51" s="1">
        <v>-698.1431884765625</v>
      </c>
    </row>
    <row r="52" spans="1:18" x14ac:dyDescent="0.2">
      <c r="A52" s="1">
        <v>206.87411499023438</v>
      </c>
      <c r="B52" s="1">
        <v>415.33251953125</v>
      </c>
      <c r="C52" s="1">
        <v>-139.38201904296875</v>
      </c>
      <c r="F52" s="1">
        <v>75.681922912597656</v>
      </c>
      <c r="G52" s="1">
        <v>328.02566528320312</v>
      </c>
      <c r="H52" s="1">
        <v>-229.45916748046875</v>
      </c>
      <c r="K52" s="1">
        <v>-38.624313354492188</v>
      </c>
      <c r="L52" s="1">
        <v>-118.76711273193359</v>
      </c>
      <c r="M52" s="1">
        <v>108.62398529052734</v>
      </c>
      <c r="P52" s="1">
        <v>639.70989990234375</v>
      </c>
      <c r="Q52" s="1">
        <v>179.73391723632812</v>
      </c>
      <c r="R52" s="1">
        <v>-711.8079833984375</v>
      </c>
    </row>
    <row r="53" spans="1:18" x14ac:dyDescent="0.2">
      <c r="A53" s="1">
        <v>51.994083404541016</v>
      </c>
      <c r="B53" s="1">
        <v>-28.721912384033203</v>
      </c>
      <c r="C53" s="1">
        <v>-398.4517822265625</v>
      </c>
      <c r="F53" s="1">
        <v>118.41027069091797</v>
      </c>
      <c r="G53" s="1">
        <v>-128.54562377929688</v>
      </c>
      <c r="H53" s="1">
        <v>-143.73757934570312</v>
      </c>
      <c r="K53" s="1">
        <v>-503.39910888671875</v>
      </c>
      <c r="L53" s="1">
        <v>99.456527709960938</v>
      </c>
      <c r="M53" s="1">
        <v>89.439582824707031</v>
      </c>
      <c r="P53" s="1">
        <v>701.01220703125</v>
      </c>
      <c r="Q53" s="1">
        <v>116.41915130615234</v>
      </c>
      <c r="R53" s="1">
        <v>-619.8165283203125</v>
      </c>
    </row>
    <row r="54" spans="1:18" x14ac:dyDescent="0.2">
      <c r="A54" s="1">
        <v>-62.370326995849609</v>
      </c>
      <c r="B54" s="1">
        <v>-157.37791442871094</v>
      </c>
      <c r="C54" s="1">
        <v>-359.74032592773438</v>
      </c>
      <c r="F54" s="1">
        <v>310.21673583984375</v>
      </c>
      <c r="G54" s="1">
        <v>-156.63252258300781</v>
      </c>
      <c r="H54" s="1">
        <v>49.843395233154297</v>
      </c>
      <c r="K54" s="1">
        <v>-342.28329467773438</v>
      </c>
      <c r="L54" s="1">
        <v>-259.97607421875</v>
      </c>
      <c r="M54" s="1">
        <v>99.520805358886719</v>
      </c>
      <c r="P54" s="1">
        <v>641.40826416015625</v>
      </c>
      <c r="Q54" s="1">
        <v>-275.9034423828125</v>
      </c>
      <c r="R54" s="1">
        <v>-1248.5360107421875</v>
      </c>
    </row>
    <row r="55" spans="1:18" x14ac:dyDescent="0.2">
      <c r="A55" s="1">
        <v>-119.5394287109375</v>
      </c>
      <c r="B55" s="1">
        <v>-219.55734252929688</v>
      </c>
      <c r="C55" s="1">
        <v>-93.536666870117188</v>
      </c>
      <c r="F55" s="1">
        <v>346.61697387695312</v>
      </c>
      <c r="G55" s="1">
        <v>-345.41473388671875</v>
      </c>
      <c r="H55" s="1">
        <v>172.48686218261719</v>
      </c>
      <c r="K55" s="1">
        <v>-219.10499572753906</v>
      </c>
      <c r="L55" s="1">
        <v>-143.28369140625</v>
      </c>
      <c r="M55" s="1">
        <v>-228.86671447753906</v>
      </c>
      <c r="P55" s="1">
        <v>356.05429077148438</v>
      </c>
      <c r="Q55" s="1">
        <v>-342.89007568359375</v>
      </c>
      <c r="R55" s="1">
        <v>-1311.5679931640625</v>
      </c>
    </row>
    <row r="56" spans="1:18" x14ac:dyDescent="0.2">
      <c r="A56" s="1">
        <v>-20.888212203979492</v>
      </c>
      <c r="B56" s="1">
        <v>-563.84613037109375</v>
      </c>
      <c r="C56" s="1">
        <v>-71.7861328125</v>
      </c>
      <c r="F56" s="1">
        <v>-554.0296630859375</v>
      </c>
      <c r="G56" s="1">
        <v>11.498369216918945</v>
      </c>
      <c r="H56" s="1">
        <v>-122.05715942382812</v>
      </c>
      <c r="K56" s="1">
        <v>-779.87982177734375</v>
      </c>
      <c r="L56" s="1">
        <v>-4.513176441192627</v>
      </c>
      <c r="M56" s="1">
        <v>-223.47299194335938</v>
      </c>
      <c r="P56" s="1">
        <v>-641.33087158203125</v>
      </c>
      <c r="Q56" s="1">
        <v>-299.923583984375</v>
      </c>
      <c r="R56" s="1">
        <v>-1015.5843505859375</v>
      </c>
    </row>
    <row r="57" spans="1:18" x14ac:dyDescent="0.2">
      <c r="A57" s="1">
        <v>-68.99481201171875</v>
      </c>
      <c r="B57" s="1">
        <v>-594.77557373046875</v>
      </c>
      <c r="C57" s="1">
        <v>-5.0902910232543945</v>
      </c>
      <c r="F57" s="1">
        <v>-555.40289306640625</v>
      </c>
      <c r="G57" s="1">
        <v>794.0911865234375</v>
      </c>
      <c r="H57" s="1">
        <v>-143.0855712890625</v>
      </c>
      <c r="K57" s="1">
        <v>-463.63897705078125</v>
      </c>
      <c r="L57" s="1">
        <v>-725.21142578125</v>
      </c>
      <c r="M57" s="1">
        <v>-383.21990966796875</v>
      </c>
      <c r="P57" s="1">
        <v>-809.825439453125</v>
      </c>
      <c r="Q57" s="1">
        <v>-592.55084228515625</v>
      </c>
      <c r="R57" s="1">
        <v>-961.6475830078125</v>
      </c>
    </row>
    <row r="58" spans="1:18" x14ac:dyDescent="0.2">
      <c r="A58" s="1">
        <v>-110.60922241210938</v>
      </c>
      <c r="B58" s="1">
        <v>-511.39251708984375</v>
      </c>
      <c r="C58" s="1">
        <v>208.65243530273438</v>
      </c>
      <c r="F58" s="1">
        <v>-4.901115894317627</v>
      </c>
      <c r="G58" s="1">
        <v>830.7230224609375</v>
      </c>
      <c r="H58" s="1">
        <v>394.52664184570312</v>
      </c>
      <c r="K58" s="1">
        <v>419.61746215820312</v>
      </c>
      <c r="L58" s="1">
        <v>-785.26904296875</v>
      </c>
      <c r="M58" s="1">
        <v>-191.966796875</v>
      </c>
      <c r="P58" s="1">
        <v>-605.648193359375</v>
      </c>
      <c r="Q58" s="1">
        <v>-592.77191162109375</v>
      </c>
      <c r="R58" s="1">
        <v>-808.8514404296875</v>
      </c>
    </row>
    <row r="59" spans="1:18" x14ac:dyDescent="0.2">
      <c r="A59" s="1">
        <v>-2.1298828125</v>
      </c>
      <c r="B59" s="1">
        <v>-309.89227294921875</v>
      </c>
      <c r="C59" s="1">
        <v>101.19202423095703</v>
      </c>
      <c r="F59" s="1">
        <v>539.93658447265625</v>
      </c>
      <c r="G59" s="1">
        <v>1084.5032958984375</v>
      </c>
      <c r="H59" s="1">
        <v>1649.732666015625</v>
      </c>
      <c r="K59" s="1">
        <v>922.9207763671875</v>
      </c>
      <c r="L59" s="1">
        <v>-422.26412963867188</v>
      </c>
      <c r="M59" s="1">
        <v>125.75504302978516</v>
      </c>
      <c r="P59" s="1">
        <v>-774.58807373046875</v>
      </c>
      <c r="Q59" s="1">
        <v>-345.242919921875</v>
      </c>
      <c r="R59" s="1">
        <v>-380.1021728515625</v>
      </c>
    </row>
    <row r="60" spans="1:18" x14ac:dyDescent="0.2">
      <c r="A60" s="1">
        <v>668.35723876953125</v>
      </c>
      <c r="B60" s="1">
        <v>321.63922119140625</v>
      </c>
      <c r="C60" s="1">
        <v>-69.213691711425781</v>
      </c>
      <c r="F60" s="1">
        <v>1236.4774169921875</v>
      </c>
      <c r="G60" s="1">
        <v>1696.2835693359375</v>
      </c>
      <c r="H60" s="1">
        <v>2487.5009765625</v>
      </c>
      <c r="K60" s="1">
        <v>1058.34912109375</v>
      </c>
      <c r="L60" s="1">
        <v>198.00637817382812</v>
      </c>
      <c r="M60" s="1">
        <v>326.39877319335938</v>
      </c>
      <c r="P60" s="1">
        <v>-611.3951416015625</v>
      </c>
      <c r="Q60" s="1">
        <v>-237.30767822265625</v>
      </c>
      <c r="R60" s="1">
        <v>-427.9232177734375</v>
      </c>
    </row>
    <row r="61" spans="1:18" x14ac:dyDescent="0.2">
      <c r="A61" s="1">
        <v>1317.5943603515625</v>
      </c>
      <c r="B61" s="1">
        <v>532.67071533203125</v>
      </c>
      <c r="C61" s="1">
        <v>368.34933471679688</v>
      </c>
      <c r="F61" s="1">
        <v>1583.033935546875</v>
      </c>
      <c r="G61" s="1">
        <v>2878.94677734375</v>
      </c>
      <c r="H61" s="1">
        <v>3100.34765625</v>
      </c>
      <c r="K61" s="1">
        <v>956.55865478515625</v>
      </c>
      <c r="L61" s="1">
        <v>802.18316650390625</v>
      </c>
      <c r="M61" s="1">
        <v>196.82374572753906</v>
      </c>
      <c r="P61" s="1">
        <v>57.282188415527344</v>
      </c>
      <c r="Q61" s="1">
        <v>-259.1224365234375</v>
      </c>
      <c r="R61" s="1">
        <v>-368.5958251953125</v>
      </c>
    </row>
    <row r="62" spans="1:18" x14ac:dyDescent="0.2">
      <c r="A62" s="1">
        <v>1808.56591796875</v>
      </c>
      <c r="B62" s="1">
        <v>781.27252197265625</v>
      </c>
      <c r="C62" s="1">
        <v>1218.967041015625</v>
      </c>
      <c r="F62" s="1">
        <v>2342.13720703125</v>
      </c>
      <c r="G62" s="1">
        <v>4556.14111328125</v>
      </c>
      <c r="H62" s="1">
        <v>4179.7255859375</v>
      </c>
      <c r="K62" s="1">
        <v>1096.7369384765625</v>
      </c>
      <c r="L62" s="1">
        <v>1039.48486328125</v>
      </c>
      <c r="M62" s="1">
        <v>557.51434326171875</v>
      </c>
      <c r="P62" s="1">
        <v>-228.82957458496094</v>
      </c>
      <c r="Q62" s="1">
        <v>-762.07000732421875</v>
      </c>
      <c r="R62" s="1">
        <v>-173.97157287597656</v>
      </c>
    </row>
    <row r="63" spans="1:18" x14ac:dyDescent="0.2">
      <c r="A63" s="1">
        <v>3353.427978515625</v>
      </c>
      <c r="B63" s="1">
        <v>2160.038330078125</v>
      </c>
      <c r="C63" s="1">
        <v>2096.522216796875</v>
      </c>
      <c r="F63" s="1">
        <v>4971.61572265625</v>
      </c>
      <c r="G63" s="1">
        <v>6046.61669921875</v>
      </c>
      <c r="H63" s="1">
        <v>6984.041015625</v>
      </c>
      <c r="K63" s="1">
        <v>1508.868408203125</v>
      </c>
      <c r="L63" s="1">
        <v>760.13043212890625</v>
      </c>
      <c r="M63" s="1">
        <v>1324.7362060546875</v>
      </c>
      <c r="P63" s="1">
        <v>-335.29287719726562</v>
      </c>
      <c r="Q63" s="1">
        <v>-714.89263916015625</v>
      </c>
      <c r="R63" s="1">
        <v>-212.79261779785156</v>
      </c>
    </row>
    <row r="64" spans="1:18" x14ac:dyDescent="0.2">
      <c r="A64" s="1">
        <v>6978.5087890625</v>
      </c>
      <c r="B64" s="1">
        <v>4654.64794921875</v>
      </c>
      <c r="C64" s="1">
        <v>3984.374267578125</v>
      </c>
      <c r="F64" s="1">
        <v>9444.84375</v>
      </c>
      <c r="G64" s="1">
        <v>10387.451171875</v>
      </c>
      <c r="H64" s="1">
        <v>11785.5595703125</v>
      </c>
      <c r="K64" s="1">
        <v>2173.187255859375</v>
      </c>
      <c r="L64" s="1">
        <v>1239.8541259765625</v>
      </c>
      <c r="M64" s="1">
        <v>2204.5830078125</v>
      </c>
      <c r="P64" s="1">
        <v>-399.09213256835938</v>
      </c>
      <c r="Q64" s="1">
        <v>-374.76986694335938</v>
      </c>
      <c r="R64" s="1">
        <v>-298.76211547851562</v>
      </c>
    </row>
    <row r="65" spans="1:18" x14ac:dyDescent="0.2">
      <c r="A65" s="1">
        <v>14466.96484375</v>
      </c>
      <c r="B65" s="1">
        <v>9535.6328125</v>
      </c>
      <c r="C65" s="1">
        <v>7862.296875</v>
      </c>
      <c r="F65" s="1">
        <v>18734.603515625</v>
      </c>
      <c r="G65" s="1">
        <v>19223.458984375</v>
      </c>
      <c r="H65" s="1">
        <v>21376.71875</v>
      </c>
      <c r="K65" s="1">
        <v>3367.19384765625</v>
      </c>
      <c r="L65" s="1">
        <v>2953.37451171875</v>
      </c>
      <c r="M65" s="1">
        <v>3556.476806640625</v>
      </c>
      <c r="P65" s="1">
        <v>-326.89141845703125</v>
      </c>
      <c r="Q65" s="1">
        <v>-742.48309326171875</v>
      </c>
      <c r="R65" s="1">
        <v>-188.92691040039062</v>
      </c>
    </row>
    <row r="66" spans="1:18" x14ac:dyDescent="0.2">
      <c r="A66" s="1">
        <v>25964.490234375</v>
      </c>
      <c r="B66" s="1">
        <v>16443.7734375</v>
      </c>
      <c r="C66" s="1">
        <v>14753.984375</v>
      </c>
      <c r="F66" s="1">
        <v>35005.44140625</v>
      </c>
      <c r="G66" s="1">
        <v>34374.52734375</v>
      </c>
      <c r="H66" s="1">
        <v>37808.12890625</v>
      </c>
      <c r="K66" s="1">
        <v>5641.8251953125</v>
      </c>
      <c r="L66" s="1">
        <v>5897.37939453125</v>
      </c>
      <c r="M66" s="1">
        <v>6081.93310546875</v>
      </c>
      <c r="P66" s="1">
        <v>-132.21409606933594</v>
      </c>
      <c r="Q66" s="1">
        <v>-620.8759765625</v>
      </c>
      <c r="R66" s="1">
        <v>68.267669677734375</v>
      </c>
    </row>
    <row r="67" spans="1:18" x14ac:dyDescent="0.2">
      <c r="A67" s="1">
        <v>47997.8203125</v>
      </c>
      <c r="B67" s="1">
        <v>29621.8203125</v>
      </c>
      <c r="C67" s="1">
        <v>27681.1796875</v>
      </c>
      <c r="F67" s="1">
        <v>64582.57421875</v>
      </c>
      <c r="G67" s="1">
        <v>59396.81640625</v>
      </c>
      <c r="H67" s="1">
        <v>66501.6796875</v>
      </c>
      <c r="K67" s="1">
        <v>9187.62890625</v>
      </c>
      <c r="L67" s="1">
        <v>10358.556640625</v>
      </c>
      <c r="M67" s="1">
        <v>10893.3896484375</v>
      </c>
      <c r="P67" s="1">
        <v>-99.427421569824219</v>
      </c>
      <c r="Q67" s="1">
        <v>-82.432937622070312</v>
      </c>
      <c r="R67" s="1">
        <v>296.18099975585938</v>
      </c>
    </row>
    <row r="68" spans="1:18" x14ac:dyDescent="0.2">
      <c r="A68" s="1">
        <v>84206.3203125</v>
      </c>
      <c r="B68" s="1">
        <v>51917.1484375</v>
      </c>
      <c r="C68" s="1">
        <v>50608.9296875</v>
      </c>
      <c r="F68" s="1">
        <v>111483.0078125</v>
      </c>
      <c r="G68" s="1">
        <v>98839.8203125</v>
      </c>
      <c r="H68" s="1">
        <v>111414.9765625</v>
      </c>
      <c r="K68" s="1">
        <v>14160.134765625</v>
      </c>
      <c r="L68" s="1">
        <v>18635.201171875</v>
      </c>
      <c r="M68" s="1">
        <v>17764.048828125</v>
      </c>
      <c r="P68" s="1">
        <v>-327.3751220703125</v>
      </c>
      <c r="Q68" s="1">
        <v>92.142913818359375</v>
      </c>
      <c r="R68" s="1">
        <v>454.29745483398438</v>
      </c>
    </row>
    <row r="69" spans="1:18" x14ac:dyDescent="0.2">
      <c r="A69" s="1">
        <v>135167.890625</v>
      </c>
      <c r="B69" s="1">
        <v>87366.6796875</v>
      </c>
      <c r="C69" s="1">
        <v>88584.7890625</v>
      </c>
      <c r="F69" s="1">
        <v>175057.5625</v>
      </c>
      <c r="G69" s="1">
        <v>150280.421875</v>
      </c>
      <c r="H69" s="1">
        <v>172324.75</v>
      </c>
      <c r="K69" s="1">
        <v>24318.796875</v>
      </c>
      <c r="L69" s="1">
        <v>31184.95703125</v>
      </c>
      <c r="M69" s="1">
        <v>29971.66015625</v>
      </c>
      <c r="P69" s="1">
        <v>-79.69781494140625</v>
      </c>
      <c r="Q69" s="1">
        <v>-1.1640396118164062</v>
      </c>
      <c r="R69" s="1">
        <v>632.65606689453125</v>
      </c>
    </row>
    <row r="70" spans="1:18" x14ac:dyDescent="0.2">
      <c r="A70" s="1">
        <v>195839.203125</v>
      </c>
      <c r="B70" s="1">
        <v>135169.5</v>
      </c>
      <c r="C70" s="1">
        <v>141434.515625</v>
      </c>
      <c r="F70" s="1">
        <v>247587.5</v>
      </c>
      <c r="G70" s="1">
        <v>206331.375</v>
      </c>
      <c r="H70" s="1">
        <v>240756.546875</v>
      </c>
      <c r="K70" s="1">
        <v>38686.6484375</v>
      </c>
      <c r="L70" s="1">
        <v>49304.6640625</v>
      </c>
      <c r="M70" s="1">
        <v>47269.4609375</v>
      </c>
      <c r="P70" s="1">
        <v>594.9169921875</v>
      </c>
      <c r="Q70" s="1">
        <v>178.77900695800781</v>
      </c>
      <c r="R70" s="1">
        <v>694.46002197265625</v>
      </c>
    </row>
    <row r="71" spans="1:18" x14ac:dyDescent="0.2">
      <c r="A71" s="1">
        <v>260517.53125</v>
      </c>
      <c r="B71" s="1">
        <v>190185.1875</v>
      </c>
      <c r="C71" s="1">
        <v>203767.84375</v>
      </c>
      <c r="F71" s="1">
        <v>319504.15625</v>
      </c>
      <c r="G71" s="1">
        <v>262646.40625</v>
      </c>
      <c r="H71" s="1">
        <v>307805.75</v>
      </c>
      <c r="K71" s="1">
        <v>58507.5</v>
      </c>
      <c r="L71" s="1">
        <v>74853.65625</v>
      </c>
      <c r="M71" s="1">
        <v>70597.9453125</v>
      </c>
      <c r="P71" s="1">
        <v>-189.40570068359375</v>
      </c>
      <c r="Q71" s="1">
        <v>690.2845458984375</v>
      </c>
      <c r="R71" s="1">
        <v>439.08428955078125</v>
      </c>
    </row>
    <row r="72" spans="1:18" x14ac:dyDescent="0.2">
      <c r="A72" s="1">
        <v>323811.34375</v>
      </c>
      <c r="B72" s="1">
        <v>248075.03125</v>
      </c>
      <c r="C72" s="1">
        <v>269691.15625</v>
      </c>
      <c r="F72" s="1">
        <v>383724.8125</v>
      </c>
      <c r="G72" s="1">
        <v>312321.75</v>
      </c>
      <c r="H72" s="1">
        <v>368441.65625</v>
      </c>
      <c r="K72" s="1">
        <v>83966.5078125</v>
      </c>
      <c r="L72" s="1">
        <v>105455.9375</v>
      </c>
      <c r="M72" s="1">
        <v>97155.6875</v>
      </c>
      <c r="P72" s="1">
        <v>56.263790130615234</v>
      </c>
      <c r="Q72" s="1">
        <v>1113.7431640625</v>
      </c>
      <c r="R72" s="1">
        <v>628.63043212890625</v>
      </c>
    </row>
    <row r="73" spans="1:18" x14ac:dyDescent="0.2">
      <c r="A73" s="1">
        <v>381989.8125</v>
      </c>
      <c r="B73" s="1">
        <v>304338.53125</v>
      </c>
      <c r="C73" s="1">
        <v>332860.75</v>
      </c>
      <c r="F73" s="1">
        <v>438915.125</v>
      </c>
      <c r="G73" s="1">
        <v>355592.53125</v>
      </c>
      <c r="H73" s="1">
        <v>420062.4375</v>
      </c>
      <c r="K73" s="1">
        <v>112856.1328125</v>
      </c>
      <c r="L73" s="1">
        <v>139284.640625</v>
      </c>
      <c r="M73" s="1">
        <v>126174.34375</v>
      </c>
      <c r="P73" s="1">
        <v>1535.9957275390625</v>
      </c>
      <c r="Q73" s="1">
        <v>1384.022216796875</v>
      </c>
      <c r="R73" s="1">
        <v>1126.2625732421875</v>
      </c>
    </row>
    <row r="74" spans="1:18" x14ac:dyDescent="0.2">
      <c r="A74" s="1">
        <v>427200.625</v>
      </c>
      <c r="B74" s="1">
        <v>349720.3125</v>
      </c>
      <c r="C74" s="1">
        <v>382346.03125</v>
      </c>
      <c r="F74" s="1">
        <v>479800.5</v>
      </c>
      <c r="G74" s="1">
        <v>387325.875</v>
      </c>
      <c r="H74" s="1">
        <v>457205.125</v>
      </c>
      <c r="K74" s="1">
        <v>138929.734375</v>
      </c>
      <c r="L74" s="1">
        <v>169893.515625</v>
      </c>
      <c r="M74" s="1">
        <v>152659.96875</v>
      </c>
      <c r="P74" s="1">
        <v>2019.993408203125</v>
      </c>
      <c r="Q74" s="1">
        <v>1967.5355224609375</v>
      </c>
      <c r="R74" s="1">
        <v>1390.3634033203125</v>
      </c>
    </row>
    <row r="75" spans="1:18" x14ac:dyDescent="0.2">
      <c r="K75" s="2"/>
      <c r="L75" s="2"/>
      <c r="M75" s="2"/>
    </row>
    <row r="76" spans="1:18" x14ac:dyDescent="0.2">
      <c r="K76" s="2"/>
      <c r="L76" s="2"/>
      <c r="M76" s="2"/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72"/>
  <sheetViews>
    <sheetView topLeftCell="I1" workbookViewId="0">
      <selection activeCell="T1" sqref="T1:AB36"/>
    </sheetView>
  </sheetViews>
  <sheetFormatPr baseColWidth="10" defaultColWidth="8.83203125" defaultRowHeight="16" x14ac:dyDescent="0.2"/>
  <cols>
    <col min="21" max="21" width="11.83203125" customWidth="1"/>
    <col min="22" max="22" width="13" customWidth="1"/>
    <col min="23" max="23" width="13.33203125" customWidth="1"/>
    <col min="24" max="24" width="12.6640625" customWidth="1"/>
    <col min="25" max="25" width="11" customWidth="1"/>
    <col min="26" max="27" width="12.1640625" customWidth="1"/>
    <col min="28" max="28" width="13" customWidth="1"/>
  </cols>
  <sheetData>
    <row r="1" spans="1:28" x14ac:dyDescent="0.2">
      <c r="A1" s="1">
        <v>-2538.792724609375</v>
      </c>
      <c r="B1" s="1">
        <v>-2151.77197265625</v>
      </c>
      <c r="C1" s="1">
        <v>890.0224609375</v>
      </c>
      <c r="D1" s="1"/>
      <c r="F1" s="1">
        <v>-2674.205322265625</v>
      </c>
      <c r="G1" s="1">
        <v>-1277.6546630859375</v>
      </c>
      <c r="H1" s="1">
        <v>-2131.55029296875</v>
      </c>
      <c r="K1" s="1">
        <v>-2438.72998046875</v>
      </c>
      <c r="L1" s="1">
        <v>-1087.346923828125</v>
      </c>
      <c r="M1" s="1">
        <v>-582.5140380859375</v>
      </c>
      <c r="P1" s="1">
        <v>-1513.711669921875</v>
      </c>
      <c r="Q1" s="1">
        <v>-3647.49072265625</v>
      </c>
      <c r="R1" s="1">
        <v>-1843.0343017578125</v>
      </c>
      <c r="U1" s="2" t="s">
        <v>0</v>
      </c>
      <c r="V1" s="2" t="s">
        <v>1</v>
      </c>
      <c r="W1" s="2" t="s">
        <v>2</v>
      </c>
      <c r="X1" s="2" t="s">
        <v>3</v>
      </c>
      <c r="Y1" s="2" t="s">
        <v>4</v>
      </c>
      <c r="Z1" s="2" t="s">
        <v>5</v>
      </c>
      <c r="AA1" s="2" t="s">
        <v>6</v>
      </c>
      <c r="AB1" s="2" t="s">
        <v>7</v>
      </c>
    </row>
    <row r="2" spans="1:28" x14ac:dyDescent="0.2">
      <c r="A2" s="1">
        <v>-2690.978515625</v>
      </c>
      <c r="B2" s="1">
        <v>-1377.640625</v>
      </c>
      <c r="C2" s="1">
        <v>463.52511596679688</v>
      </c>
      <c r="D2" s="1"/>
      <c r="F2" s="1">
        <v>-2041.599365234375</v>
      </c>
      <c r="G2" s="1">
        <v>-368.17031860351562</v>
      </c>
      <c r="H2" s="1">
        <v>-733.8828125</v>
      </c>
      <c r="K2" s="1">
        <v>-2200.869384765625</v>
      </c>
      <c r="L2" s="1">
        <v>-53.62109375</v>
      </c>
      <c r="M2" s="1">
        <v>-8.82421875</v>
      </c>
      <c r="P2" s="1">
        <v>-601.28485107421875</v>
      </c>
      <c r="Q2" s="1">
        <v>-2583.96533203125</v>
      </c>
      <c r="R2" s="1">
        <v>-691.67437744140625</v>
      </c>
      <c r="T2" s="3">
        <v>1</v>
      </c>
      <c r="U2" s="4">
        <f>AVERAGE(A1:C1)</f>
        <v>-1266.847412109375</v>
      </c>
      <c r="V2" s="4">
        <f>AVERAGE(F1:H1)</f>
        <v>-2027.8034261067708</v>
      </c>
      <c r="W2" s="4">
        <f>AVERAGE(K1:M1)</f>
        <v>-1369.5303141276042</v>
      </c>
      <c r="X2" s="4">
        <f>AVERAGE(P1:R1)</f>
        <v>-2334.745564778646</v>
      </c>
      <c r="Y2" s="4">
        <f>AVERAGE(A38:C38)</f>
        <v>797.51750691731775</v>
      </c>
      <c r="Z2" s="4">
        <f>AVERAGE(F38:H38)</f>
        <v>-1624.6587320963542</v>
      </c>
      <c r="AA2" s="4">
        <f>AVERAGE(K38:M38)</f>
        <v>663.65085856119788</v>
      </c>
      <c r="AB2" s="4">
        <f>AVERAGE(P38:R38)</f>
        <v>-1890.515848795573</v>
      </c>
    </row>
    <row r="3" spans="1:28" x14ac:dyDescent="0.2">
      <c r="A3" s="1">
        <v>-1264.7774658203125</v>
      </c>
      <c r="B3" s="1">
        <v>-63.360794067382812</v>
      </c>
      <c r="C3" s="1">
        <v>-70.538642883300781</v>
      </c>
      <c r="D3" s="1"/>
      <c r="F3" s="1">
        <v>-276.96987915039062</v>
      </c>
      <c r="G3" s="1">
        <v>-5.9749999046325684</v>
      </c>
      <c r="H3" s="1">
        <v>-67.340400695800781</v>
      </c>
      <c r="K3" s="1">
        <v>-667.227294921875</v>
      </c>
      <c r="L3" s="1">
        <v>-76.512496948242188</v>
      </c>
      <c r="M3" s="1">
        <v>-22.837499618530273</v>
      </c>
      <c r="P3" s="1">
        <v>285.79818725585938</v>
      </c>
      <c r="Q3" s="1">
        <v>-443.39312744140625</v>
      </c>
      <c r="R3" s="1">
        <v>-120.431640625</v>
      </c>
      <c r="T3" s="3">
        <v>2</v>
      </c>
      <c r="U3" s="4">
        <f>AVERAGE(A2:C2)</f>
        <v>-1201.6980082194011</v>
      </c>
      <c r="V3" s="4">
        <f>AVERAGE(F2:H2)</f>
        <v>-1047.8841654459636</v>
      </c>
      <c r="W3" s="4">
        <f>AVERAGE(K2:M2)</f>
        <v>-754.438232421875</v>
      </c>
      <c r="X3" s="4">
        <f>AVERAGE(P2:R2)</f>
        <v>-1292.3081868489583</v>
      </c>
      <c r="Y3" s="4">
        <f>AVERAGE(A39:C39)</f>
        <v>889.91796875</v>
      </c>
      <c r="Z3" s="4">
        <f>AVERAGE(F39:H39)</f>
        <v>-459.92423502604169</v>
      </c>
      <c r="AA3" s="4">
        <f>AVERAGE(K39:M39)</f>
        <v>1223.5150324503581</v>
      </c>
      <c r="AB3" s="4">
        <f>AVERAGE(P39:R39)</f>
        <v>-1128.4744453430176</v>
      </c>
    </row>
    <row r="4" spans="1:28" x14ac:dyDescent="0.2">
      <c r="A4" s="1">
        <v>-88.838172912597656</v>
      </c>
      <c r="B4" s="1">
        <v>169.07528686523438</v>
      </c>
      <c r="C4" s="1">
        <v>-132.48521423339844</v>
      </c>
      <c r="D4" s="1"/>
      <c r="F4" s="1">
        <v>10.495535850524902</v>
      </c>
      <c r="G4" s="1">
        <v>34.485939025878906</v>
      </c>
      <c r="H4" s="1">
        <v>309.88168334960938</v>
      </c>
      <c r="K4" s="1">
        <v>289.9381103515625</v>
      </c>
      <c r="L4" s="1">
        <v>24.244531631469727</v>
      </c>
      <c r="M4" s="1">
        <v>-49.686717987060547</v>
      </c>
      <c r="P4" s="1">
        <v>139.0140380859375</v>
      </c>
      <c r="Q4" s="1">
        <v>-221.45368957519531</v>
      </c>
      <c r="R4" s="1">
        <v>21.795480728149414</v>
      </c>
      <c r="T4" s="3">
        <v>3</v>
      </c>
      <c r="U4" s="4">
        <f t="shared" ref="U4:U36" si="0">AVERAGE(A3:C3)</f>
        <v>-466.22563425699872</v>
      </c>
      <c r="V4" s="4">
        <f t="shared" ref="V4:V36" si="1">AVERAGE(F3:H3)</f>
        <v>-116.76175991694133</v>
      </c>
      <c r="W4" s="4">
        <f t="shared" ref="W4:W36" si="2">AVERAGE(K3:M3)</f>
        <v>-255.52576382954916</v>
      </c>
      <c r="X4" s="4">
        <f t="shared" ref="X4:X36" si="3">AVERAGE(P3:R3)</f>
        <v>-92.675526936848954</v>
      </c>
      <c r="Y4" s="4">
        <f t="shared" ref="Y4:Y36" si="4">AVERAGE(A40:C40)</f>
        <v>463.46552530924481</v>
      </c>
      <c r="Z4" s="4">
        <f t="shared" ref="Z4:Z36" si="5">AVERAGE(F40:H40)</f>
        <v>258.85712178548175</v>
      </c>
      <c r="AA4" s="4">
        <f t="shared" ref="AA4:AA36" si="6">AVERAGE(K40:M40)</f>
        <v>1015.7126134236654</v>
      </c>
      <c r="AB4" s="4">
        <f t="shared" ref="AB4:AB36" si="7">AVERAGE(P40:R40)</f>
        <v>-355.94344075520831</v>
      </c>
    </row>
    <row r="5" spans="1:28" x14ac:dyDescent="0.2">
      <c r="A5" s="1">
        <v>474.22607421875</v>
      </c>
      <c r="B5" s="1">
        <v>36.605113983154297</v>
      </c>
      <c r="C5" s="1">
        <v>65.638534545898438</v>
      </c>
      <c r="D5" s="1"/>
      <c r="F5" s="1">
        <v>130.578125</v>
      </c>
      <c r="G5" s="1">
        <v>-24.256250381469727</v>
      </c>
      <c r="H5" s="1">
        <v>283.01785278320312</v>
      </c>
      <c r="K5" s="1">
        <v>373.08786010742188</v>
      </c>
      <c r="L5" s="1">
        <v>181.04843139648438</v>
      </c>
      <c r="M5" s="1">
        <v>167.88594055175781</v>
      </c>
      <c r="P5" s="1">
        <v>75.745536804199219</v>
      </c>
      <c r="Q5" s="1">
        <v>612.81390380859375</v>
      </c>
      <c r="R5" s="1">
        <v>177.06166076660156</v>
      </c>
      <c r="T5" s="3">
        <v>4</v>
      </c>
      <c r="U5" s="4">
        <f t="shared" si="0"/>
        <v>-17.416033426920574</v>
      </c>
      <c r="V5" s="4">
        <f t="shared" si="1"/>
        <v>118.28771940867107</v>
      </c>
      <c r="W5" s="4">
        <f t="shared" si="2"/>
        <v>88.165307998657227</v>
      </c>
      <c r="X5" s="4">
        <f t="shared" si="3"/>
        <v>-20.214723587036133</v>
      </c>
      <c r="Y5" s="4">
        <f t="shared" si="4"/>
        <v>52.468816121419273</v>
      </c>
      <c r="Z5" s="4">
        <f t="shared" si="5"/>
        <v>270.73223876953125</v>
      </c>
      <c r="AA5" s="4">
        <f t="shared" si="6"/>
        <v>255.91539510091147</v>
      </c>
      <c r="AB5" s="4">
        <f t="shared" si="7"/>
        <v>65.066767374674484</v>
      </c>
    </row>
    <row r="6" spans="1:28" x14ac:dyDescent="0.2">
      <c r="A6" s="1">
        <v>731.74346923828125</v>
      </c>
      <c r="B6" s="1">
        <v>290.40057373046875</v>
      </c>
      <c r="C6" s="1">
        <v>305.24273681640625</v>
      </c>
      <c r="D6" s="1"/>
      <c r="F6" s="1">
        <v>295.02008056640625</v>
      </c>
      <c r="G6" s="1">
        <v>-31.045312881469727</v>
      </c>
      <c r="H6" s="1">
        <v>-422.90847778320312</v>
      </c>
      <c r="K6" s="1">
        <v>545.2064208984375</v>
      </c>
      <c r="L6" s="1">
        <v>-128.78047180175781</v>
      </c>
      <c r="M6" s="1">
        <v>-95.361717224121094</v>
      </c>
      <c r="P6" s="1">
        <v>336.92233276367188</v>
      </c>
      <c r="Q6" s="1">
        <v>613.51898193359375</v>
      </c>
      <c r="R6" s="1">
        <v>39.929409027099609</v>
      </c>
      <c r="T6" s="3">
        <v>5</v>
      </c>
      <c r="U6" s="4">
        <f t="shared" si="0"/>
        <v>192.15657424926758</v>
      </c>
      <c r="V6" s="4">
        <f t="shared" si="1"/>
        <v>129.77990913391113</v>
      </c>
      <c r="W6" s="4">
        <f t="shared" si="2"/>
        <v>240.67407735188803</v>
      </c>
      <c r="X6" s="4">
        <f t="shared" si="3"/>
        <v>288.54036712646484</v>
      </c>
      <c r="Y6" s="4">
        <f t="shared" si="4"/>
        <v>-90.935432434082031</v>
      </c>
      <c r="Z6" s="4">
        <f t="shared" si="5"/>
        <v>-8.2780688603719081</v>
      </c>
      <c r="AA6" s="4">
        <f t="shared" si="6"/>
        <v>132.68324788411459</v>
      </c>
      <c r="AB6" s="4">
        <f t="shared" si="7"/>
        <v>236.89205423990884</v>
      </c>
    </row>
    <row r="7" spans="1:28" x14ac:dyDescent="0.2">
      <c r="A7" s="1">
        <v>641.8624267578125</v>
      </c>
      <c r="B7" s="1">
        <v>25.977272033691406</v>
      </c>
      <c r="C7" s="1">
        <v>5.1711773872375488</v>
      </c>
      <c r="D7" s="1"/>
      <c r="F7" s="1">
        <v>152.70423889160156</v>
      </c>
      <c r="G7" s="1">
        <v>26.790624618530273</v>
      </c>
      <c r="H7" s="1">
        <v>-522.2957763671875</v>
      </c>
      <c r="K7" s="1">
        <v>-33.292263031005859</v>
      </c>
      <c r="L7" s="1">
        <v>495.34375</v>
      </c>
      <c r="M7" s="1">
        <v>389.2734375</v>
      </c>
      <c r="P7" s="1">
        <v>-818.43994140625</v>
      </c>
      <c r="Q7" s="1">
        <v>-34.994697570800781</v>
      </c>
      <c r="R7" s="1">
        <v>-167.21847534179688</v>
      </c>
      <c r="T7" s="3">
        <v>6</v>
      </c>
      <c r="U7" s="4">
        <f t="shared" si="0"/>
        <v>442.46225992838544</v>
      </c>
      <c r="V7" s="4">
        <f t="shared" si="1"/>
        <v>-52.977903366088867</v>
      </c>
      <c r="W7" s="4">
        <f t="shared" si="2"/>
        <v>107.0214106241862</v>
      </c>
      <c r="X7" s="4">
        <f t="shared" si="3"/>
        <v>330.12357457478839</v>
      </c>
      <c r="Y7" s="4">
        <f t="shared" si="4"/>
        <v>-360.48812611897785</v>
      </c>
      <c r="Z7" s="4">
        <f t="shared" si="5"/>
        <v>-242.7467130025228</v>
      </c>
      <c r="AA7" s="4">
        <f t="shared" si="6"/>
        <v>8.901619265476862</v>
      </c>
      <c r="AB7" s="4">
        <f t="shared" si="7"/>
        <v>-126.63681538899739</v>
      </c>
    </row>
    <row r="8" spans="1:28" x14ac:dyDescent="0.2">
      <c r="A8" s="1">
        <v>687.81341552734375</v>
      </c>
      <c r="B8" s="1">
        <v>-530.024169921875</v>
      </c>
      <c r="C8" s="1">
        <v>-102.966796875</v>
      </c>
      <c r="D8" s="1"/>
      <c r="F8" s="1">
        <v>-103.43973541259766</v>
      </c>
      <c r="G8" s="1">
        <v>325.62655639648438</v>
      </c>
      <c r="H8" s="1">
        <v>35.879463195800781</v>
      </c>
      <c r="K8" s="1">
        <v>-507.71279907226562</v>
      </c>
      <c r="L8" s="1">
        <v>1677.343017578125</v>
      </c>
      <c r="M8" s="1">
        <v>1255.2445068359375</v>
      </c>
      <c r="P8" s="1">
        <v>-1042.2708740234375</v>
      </c>
      <c r="Q8" s="1">
        <v>-454.19586181640625</v>
      </c>
      <c r="R8" s="1">
        <v>-74.936660766601562</v>
      </c>
      <c r="T8" s="3">
        <v>7</v>
      </c>
      <c r="U8" s="4">
        <f t="shared" si="0"/>
        <v>224.33695872624716</v>
      </c>
      <c r="V8" s="4">
        <f t="shared" si="1"/>
        <v>-114.26697095235188</v>
      </c>
      <c r="W8" s="4">
        <f t="shared" si="2"/>
        <v>283.77497482299805</v>
      </c>
      <c r="X8" s="4">
        <f t="shared" si="3"/>
        <v>-340.21770477294922</v>
      </c>
      <c r="Y8" s="4">
        <f t="shared" si="4"/>
        <v>-214.60068353017172</v>
      </c>
      <c r="Z8" s="4">
        <f t="shared" si="5"/>
        <v>-182.27264658610025</v>
      </c>
      <c r="AA8" s="4">
        <f t="shared" si="6"/>
        <v>-168.60134887695312</v>
      </c>
      <c r="AB8" s="4">
        <f t="shared" si="7"/>
        <v>-35.795908610026039</v>
      </c>
    </row>
    <row r="9" spans="1:28" x14ac:dyDescent="0.2">
      <c r="A9" s="1">
        <v>58.084678649902344</v>
      </c>
      <c r="B9" s="1">
        <v>-610.08026123046875</v>
      </c>
      <c r="C9" s="1">
        <v>-70.061805725097656</v>
      </c>
      <c r="D9" s="1"/>
      <c r="F9" s="1">
        <v>-208.38839721679688</v>
      </c>
      <c r="G9" s="1">
        <v>697.5484619140625</v>
      </c>
      <c r="H9" s="1">
        <v>383.765625</v>
      </c>
      <c r="K9" s="1">
        <v>697.70257568359375</v>
      </c>
      <c r="L9" s="1">
        <v>2557.96728515625</v>
      </c>
      <c r="M9" s="1">
        <v>2152.832763671875</v>
      </c>
      <c r="P9" s="1">
        <v>-21.226934432983398</v>
      </c>
      <c r="Q9" s="1">
        <v>-72.295478820800781</v>
      </c>
      <c r="R9" s="1">
        <v>318.75140380859375</v>
      </c>
      <c r="T9" s="3">
        <v>8</v>
      </c>
      <c r="U9" s="4">
        <f t="shared" si="0"/>
        <v>18.274149576822918</v>
      </c>
      <c r="V9" s="4">
        <f t="shared" si="1"/>
        <v>86.0220947265625</v>
      </c>
      <c r="W9" s="4">
        <f t="shared" si="2"/>
        <v>808.29157511393225</v>
      </c>
      <c r="X9" s="4">
        <f t="shared" si="3"/>
        <v>-523.80113220214844</v>
      </c>
      <c r="Y9" s="4">
        <f t="shared" si="4"/>
        <v>84.351806640625</v>
      </c>
      <c r="Z9" s="4">
        <f t="shared" si="5"/>
        <v>179.65454610188803</v>
      </c>
      <c r="AA9" s="4">
        <f t="shared" si="6"/>
        <v>-456.72414143880206</v>
      </c>
      <c r="AB9" s="4">
        <f t="shared" si="7"/>
        <v>572.297607421875</v>
      </c>
    </row>
    <row r="10" spans="1:28" x14ac:dyDescent="0.2">
      <c r="A10" s="1">
        <v>-511.04638671875</v>
      </c>
      <c r="B10" s="1">
        <v>341.0355224609375</v>
      </c>
      <c r="C10" s="1">
        <v>99.479911804199219</v>
      </c>
      <c r="D10" s="1"/>
      <c r="F10" s="1">
        <v>-22.383928298950195</v>
      </c>
      <c r="G10" s="1">
        <v>1096.2906494140625</v>
      </c>
      <c r="H10" s="1">
        <v>532.72210693359375</v>
      </c>
      <c r="K10" s="1">
        <v>791.91485595703125</v>
      </c>
      <c r="L10" s="1">
        <v>3597.16162109375</v>
      </c>
      <c r="M10" s="1">
        <v>3090.139892578125</v>
      </c>
      <c r="P10" s="1">
        <v>1044.4576416015625</v>
      </c>
      <c r="Q10" s="1">
        <v>106.54241180419922</v>
      </c>
      <c r="R10" s="1">
        <v>-194.951171875</v>
      </c>
      <c r="T10" s="3">
        <v>9</v>
      </c>
      <c r="U10" s="4">
        <f t="shared" si="0"/>
        <v>-207.35246276855469</v>
      </c>
      <c r="V10" s="4">
        <f t="shared" si="1"/>
        <v>290.97522989908856</v>
      </c>
      <c r="W10" s="4">
        <f t="shared" si="2"/>
        <v>1802.834208170573</v>
      </c>
      <c r="X10" s="4">
        <f t="shared" si="3"/>
        <v>75.076330184936523</v>
      </c>
      <c r="Y10" s="4">
        <f t="shared" si="4"/>
        <v>220.00484212239584</v>
      </c>
      <c r="Z10" s="4">
        <f t="shared" si="5"/>
        <v>368.87861124674481</v>
      </c>
      <c r="AA10" s="4">
        <f t="shared" si="6"/>
        <v>-513.0916646321615</v>
      </c>
      <c r="AB10" s="4">
        <f t="shared" si="7"/>
        <v>468.29999796549481</v>
      </c>
    </row>
    <row r="11" spans="1:28" x14ac:dyDescent="0.2">
      <c r="A11" s="1">
        <v>-729.06805419921875</v>
      </c>
      <c r="B11" s="1">
        <v>357.38565063476562</v>
      </c>
      <c r="C11" s="1">
        <v>844.2637939453125</v>
      </c>
      <c r="D11" s="1"/>
      <c r="F11" s="1">
        <v>83.683036804199219</v>
      </c>
      <c r="G11" s="1">
        <v>2282.33740234375</v>
      </c>
      <c r="H11" s="1">
        <v>1631.0926513671875</v>
      </c>
      <c r="K11" s="1">
        <v>2983.056884765625</v>
      </c>
      <c r="L11" s="1">
        <v>5120.5908203125</v>
      </c>
      <c r="M11" s="1">
        <v>5472.36865234375</v>
      </c>
      <c r="P11" s="1">
        <v>2210.587646484375</v>
      </c>
      <c r="Q11" s="1">
        <v>1630.1927490234375</v>
      </c>
      <c r="R11" s="1">
        <v>-338.03656005859375</v>
      </c>
      <c r="T11" s="3">
        <v>10</v>
      </c>
      <c r="U11" s="4">
        <f t="shared" si="0"/>
        <v>-23.510317484537762</v>
      </c>
      <c r="V11" s="4">
        <f t="shared" si="1"/>
        <v>535.54294268290198</v>
      </c>
      <c r="W11" s="4">
        <f t="shared" si="2"/>
        <v>2493.0721232096353</v>
      </c>
      <c r="X11" s="4">
        <f t="shared" si="3"/>
        <v>318.68296051025391</v>
      </c>
      <c r="Y11" s="4">
        <f t="shared" si="4"/>
        <v>142.75553385416666</v>
      </c>
      <c r="Z11" s="4">
        <f t="shared" si="5"/>
        <v>102.54538853963216</v>
      </c>
      <c r="AA11" s="4">
        <f t="shared" si="6"/>
        <v>-440.01134490966797</v>
      </c>
      <c r="AB11" s="4">
        <f t="shared" si="7"/>
        <v>37.094024658203125</v>
      </c>
    </row>
    <row r="12" spans="1:28" x14ac:dyDescent="0.2">
      <c r="A12" s="1">
        <v>-750.2303466796875</v>
      </c>
      <c r="B12" s="1">
        <v>-17.014204025268555</v>
      </c>
      <c r="C12" s="1">
        <v>1138.9500732421875</v>
      </c>
      <c r="D12" s="1"/>
      <c r="F12" s="1">
        <v>998.2578125</v>
      </c>
      <c r="G12" s="1">
        <v>2617.54833984375</v>
      </c>
      <c r="H12" s="1">
        <v>5033.73681640625</v>
      </c>
      <c r="K12" s="1">
        <v>6523.90185546875</v>
      </c>
      <c r="L12" s="1">
        <v>9379.39453125</v>
      </c>
      <c r="M12" s="1">
        <v>10095.48046875</v>
      </c>
      <c r="P12" s="1">
        <v>4571.4677734375</v>
      </c>
      <c r="Q12" s="1">
        <v>5637.97607421875</v>
      </c>
      <c r="R12" s="1">
        <v>1308.3546142578125</v>
      </c>
      <c r="T12" s="3">
        <v>11</v>
      </c>
      <c r="U12" s="4">
        <f t="shared" si="0"/>
        <v>157.52713012695312</v>
      </c>
      <c r="V12" s="4">
        <f t="shared" si="1"/>
        <v>1332.3710301717122</v>
      </c>
      <c r="W12" s="4">
        <f t="shared" si="2"/>
        <v>4525.338785807292</v>
      </c>
      <c r="X12" s="4">
        <f t="shared" si="3"/>
        <v>1167.581278483073</v>
      </c>
      <c r="Y12" s="4">
        <f t="shared" si="4"/>
        <v>-5.1500078837076826</v>
      </c>
      <c r="Z12" s="4">
        <f t="shared" si="5"/>
        <v>-216.17846171061197</v>
      </c>
      <c r="AA12" s="4">
        <f t="shared" si="6"/>
        <v>-356.29555765787762</v>
      </c>
      <c r="AB12" s="4">
        <f t="shared" si="7"/>
        <v>-375.56765747070312</v>
      </c>
    </row>
    <row r="13" spans="1:28" x14ac:dyDescent="0.2">
      <c r="A13" s="1">
        <v>231.18154907226562</v>
      </c>
      <c r="B13" s="1">
        <v>-35.421875</v>
      </c>
      <c r="C13" s="1">
        <v>2079.25732421875</v>
      </c>
      <c r="D13" s="1"/>
      <c r="F13" s="1">
        <v>2297.78564453125</v>
      </c>
      <c r="G13" s="1">
        <v>3782.59521484375</v>
      </c>
      <c r="H13" s="1">
        <v>11536.646484375</v>
      </c>
      <c r="K13" s="1">
        <v>14007.8408203125</v>
      </c>
      <c r="L13" s="1">
        <v>16848.78515625</v>
      </c>
      <c r="M13" s="1">
        <v>17656.888671875</v>
      </c>
      <c r="P13" s="1">
        <v>8806.68359375</v>
      </c>
      <c r="Q13" s="1">
        <v>12621.9775390625</v>
      </c>
      <c r="R13" s="1">
        <v>6954.49560546875</v>
      </c>
      <c r="T13" s="3">
        <v>12</v>
      </c>
      <c r="U13" s="4">
        <f t="shared" si="0"/>
        <v>123.90184084574382</v>
      </c>
      <c r="V13" s="4">
        <f t="shared" si="1"/>
        <v>2883.1809895833335</v>
      </c>
      <c r="W13" s="4">
        <f t="shared" si="2"/>
        <v>8666.2589518229161</v>
      </c>
      <c r="X13" s="4">
        <f t="shared" si="3"/>
        <v>3839.266153971354</v>
      </c>
      <c r="Y13" s="4">
        <f t="shared" si="4"/>
        <v>-208.66625213623047</v>
      </c>
      <c r="Z13" s="4">
        <f t="shared" si="5"/>
        <v>-297.88669840494794</v>
      </c>
      <c r="AA13" s="4">
        <f t="shared" si="6"/>
        <v>-188.69437917073569</v>
      </c>
      <c r="AB13" s="4">
        <f t="shared" si="7"/>
        <v>-288.56789143880206</v>
      </c>
    </row>
    <row r="14" spans="1:28" x14ac:dyDescent="0.2">
      <c r="A14" s="1">
        <v>1616.999755859375</v>
      </c>
      <c r="B14" s="1">
        <v>1561.42041015625</v>
      </c>
      <c r="C14" s="1">
        <v>3276.037353515625</v>
      </c>
      <c r="D14" s="1"/>
      <c r="F14" s="1">
        <v>2992.110595703125</v>
      </c>
      <c r="G14" s="1">
        <v>6521.52490234375</v>
      </c>
      <c r="H14" s="1">
        <v>20053.103515625</v>
      </c>
      <c r="K14" s="1">
        <v>28765.498046875</v>
      </c>
      <c r="L14" s="1">
        <v>30012.244140625</v>
      </c>
      <c r="M14" s="1">
        <v>30343.8125</v>
      </c>
      <c r="P14" s="1">
        <v>15859.2197265625</v>
      </c>
      <c r="Q14" s="1">
        <v>25978.79296875</v>
      </c>
      <c r="R14" s="1">
        <v>18136.25390625</v>
      </c>
      <c r="T14" s="3">
        <v>13</v>
      </c>
      <c r="U14" s="4">
        <f t="shared" si="0"/>
        <v>758.3389994303385</v>
      </c>
      <c r="V14" s="4">
        <f t="shared" si="1"/>
        <v>5872.342447916667</v>
      </c>
      <c r="W14" s="4">
        <f t="shared" si="2"/>
        <v>16171.171549479166</v>
      </c>
      <c r="X14" s="4">
        <f t="shared" si="3"/>
        <v>9461.05224609375</v>
      </c>
      <c r="Y14" s="4">
        <f t="shared" si="4"/>
        <v>-270.51841672261554</v>
      </c>
      <c r="Z14" s="4">
        <f t="shared" si="5"/>
        <v>-226.09491411844888</v>
      </c>
      <c r="AA14" s="4">
        <f t="shared" si="6"/>
        <v>-36.929128011067711</v>
      </c>
      <c r="AB14" s="4">
        <f t="shared" si="7"/>
        <v>-304.40144856770831</v>
      </c>
    </row>
    <row r="15" spans="1:28" x14ac:dyDescent="0.2">
      <c r="A15" s="1">
        <v>4123.71240234375</v>
      </c>
      <c r="B15" s="1">
        <v>4375.9189453125</v>
      </c>
      <c r="C15" s="1">
        <v>5752.0126953125</v>
      </c>
      <c r="D15" s="1"/>
      <c r="F15" s="1">
        <v>4880.98974609375</v>
      </c>
      <c r="G15" s="1">
        <v>9923.275390625</v>
      </c>
      <c r="H15" s="1">
        <v>33408.55859375</v>
      </c>
      <c r="K15" s="1">
        <v>52107.390625</v>
      </c>
      <c r="L15" s="1">
        <v>49453.578125</v>
      </c>
      <c r="M15" s="1">
        <v>48305.51953125</v>
      </c>
      <c r="P15" s="1">
        <v>25923.919921875</v>
      </c>
      <c r="Q15" s="1">
        <v>51460.59765625</v>
      </c>
      <c r="R15" s="1">
        <v>38519.18359375</v>
      </c>
      <c r="T15" s="3">
        <v>14</v>
      </c>
      <c r="U15" s="4">
        <f t="shared" si="0"/>
        <v>2151.48583984375</v>
      </c>
      <c r="V15" s="4">
        <f t="shared" si="1"/>
        <v>9855.5796712239589</v>
      </c>
      <c r="W15" s="4">
        <f t="shared" si="2"/>
        <v>29707.184895833332</v>
      </c>
      <c r="X15" s="4">
        <f t="shared" si="3"/>
        <v>19991.422200520832</v>
      </c>
      <c r="Y15" s="4">
        <f t="shared" si="4"/>
        <v>-169.07762400309244</v>
      </c>
      <c r="Z15" s="4">
        <f t="shared" si="5"/>
        <v>-161.75106302897134</v>
      </c>
      <c r="AA15" s="4">
        <f t="shared" si="6"/>
        <v>84.99237060546875</v>
      </c>
      <c r="AB15" s="4">
        <f t="shared" si="7"/>
        <v>-243.00325012207031</v>
      </c>
    </row>
    <row r="16" spans="1:28" x14ac:dyDescent="0.2">
      <c r="A16" s="1">
        <v>9803.7880859375</v>
      </c>
      <c r="B16" s="1">
        <v>9161.56640625</v>
      </c>
      <c r="C16" s="1">
        <v>10946.25</v>
      </c>
      <c r="D16" s="1"/>
      <c r="F16" s="1">
        <v>8146.85400390625</v>
      </c>
      <c r="G16" s="1">
        <v>15867.166015625</v>
      </c>
      <c r="H16" s="1">
        <v>51256.53125</v>
      </c>
      <c r="K16" s="1">
        <v>83382.4375</v>
      </c>
      <c r="L16" s="1">
        <v>74030.9453125</v>
      </c>
      <c r="M16" s="1">
        <v>71595.3203125</v>
      </c>
      <c r="P16" s="1">
        <v>37524.62109375</v>
      </c>
      <c r="Q16" s="1">
        <v>88458.59375</v>
      </c>
      <c r="R16" s="1">
        <v>70445.71875</v>
      </c>
      <c r="T16" s="3">
        <v>15</v>
      </c>
      <c r="U16" s="4">
        <f t="shared" si="0"/>
        <v>4750.548014322917</v>
      </c>
      <c r="V16" s="4">
        <f t="shared" si="1"/>
        <v>16070.941243489584</v>
      </c>
      <c r="W16" s="4">
        <f t="shared" si="2"/>
        <v>49955.49609375</v>
      </c>
      <c r="X16" s="4">
        <f t="shared" si="3"/>
        <v>38634.567057291664</v>
      </c>
      <c r="Y16" s="4">
        <f t="shared" si="4"/>
        <v>43.078023274739586</v>
      </c>
      <c r="Z16" s="4">
        <f t="shared" si="5"/>
        <v>-237.1519915262858</v>
      </c>
      <c r="AA16" s="4">
        <f t="shared" si="6"/>
        <v>-120.83872985839844</v>
      </c>
      <c r="AB16" s="4">
        <f t="shared" si="7"/>
        <v>66.126734415690109</v>
      </c>
    </row>
    <row r="17" spans="1:28" x14ac:dyDescent="0.2">
      <c r="A17" s="1">
        <v>19043.509765625</v>
      </c>
      <c r="B17" s="1">
        <v>18435.744140625</v>
      </c>
      <c r="C17" s="1">
        <v>19723.603515625</v>
      </c>
      <c r="D17" s="1"/>
      <c r="F17" s="1">
        <v>11675.9052734375</v>
      </c>
      <c r="G17" s="1">
        <v>22956.275390625</v>
      </c>
      <c r="H17" s="1">
        <v>73388.15625</v>
      </c>
      <c r="K17" s="1">
        <v>119140.59375</v>
      </c>
      <c r="L17" s="1">
        <v>102747.984375</v>
      </c>
      <c r="M17" s="1">
        <v>99369.9140625</v>
      </c>
      <c r="P17" s="1">
        <v>49416.859375</v>
      </c>
      <c r="Q17" s="1">
        <v>132942.625</v>
      </c>
      <c r="R17" s="1">
        <v>109859.109375</v>
      </c>
      <c r="T17" s="3">
        <v>16</v>
      </c>
      <c r="U17" s="4">
        <f t="shared" si="0"/>
        <v>9970.5348307291661</v>
      </c>
      <c r="V17" s="4">
        <f t="shared" si="1"/>
        <v>25090.183756510418</v>
      </c>
      <c r="W17" s="4">
        <f t="shared" si="2"/>
        <v>76336.234375</v>
      </c>
      <c r="X17" s="4">
        <f t="shared" si="3"/>
        <v>65476.311197916664</v>
      </c>
      <c r="Y17" s="4">
        <f t="shared" si="4"/>
        <v>35.723253885904946</v>
      </c>
      <c r="Z17" s="4">
        <f t="shared" si="5"/>
        <v>-282.29772186279297</v>
      </c>
      <c r="AA17" s="4">
        <f t="shared" si="6"/>
        <v>30.895273844401043</v>
      </c>
      <c r="AB17" s="4">
        <f t="shared" si="7"/>
        <v>210.96504465738931</v>
      </c>
    </row>
    <row r="18" spans="1:28" x14ac:dyDescent="0.2">
      <c r="A18" s="1">
        <v>37726.46875</v>
      </c>
      <c r="B18" s="1">
        <v>36043.1015625</v>
      </c>
      <c r="C18" s="1">
        <v>36946.34765625</v>
      </c>
      <c r="D18" s="1"/>
      <c r="F18" s="1">
        <v>15813.6044921875</v>
      </c>
      <c r="G18" s="1">
        <v>31225.697265625</v>
      </c>
      <c r="H18" s="1">
        <v>96686.6640625</v>
      </c>
      <c r="K18" s="1">
        <v>157270.65625</v>
      </c>
      <c r="L18" s="1">
        <v>133833.484375</v>
      </c>
      <c r="M18" s="1">
        <v>128839.1171875</v>
      </c>
      <c r="P18" s="1">
        <v>61411.78515625</v>
      </c>
      <c r="Q18" s="1">
        <v>176915.71875</v>
      </c>
      <c r="R18" s="1">
        <v>152822.9375</v>
      </c>
      <c r="T18" s="3">
        <v>17</v>
      </c>
      <c r="U18" s="4">
        <f t="shared" si="0"/>
        <v>19067.619140625</v>
      </c>
      <c r="V18" s="4">
        <f t="shared" si="1"/>
        <v>36006.778971354164</v>
      </c>
      <c r="W18" s="4">
        <f t="shared" si="2"/>
        <v>107086.1640625</v>
      </c>
      <c r="X18" s="4">
        <f t="shared" si="3"/>
        <v>97406.197916666672</v>
      </c>
      <c r="Y18" s="4">
        <f t="shared" si="4"/>
        <v>32.769515991210938</v>
      </c>
      <c r="Z18" s="4">
        <f t="shared" si="5"/>
        <v>-346.96427408854169</v>
      </c>
      <c r="AA18" s="4">
        <f t="shared" si="6"/>
        <v>56.079780578613281</v>
      </c>
      <c r="AB18" s="4">
        <f t="shared" si="7"/>
        <v>84.212209065755204</v>
      </c>
    </row>
    <row r="19" spans="1:28" x14ac:dyDescent="0.2">
      <c r="A19" s="1">
        <v>72374.8125</v>
      </c>
      <c r="B19" s="1">
        <v>65800.6640625</v>
      </c>
      <c r="C19" s="1">
        <v>66793.875</v>
      </c>
      <c r="D19" s="1"/>
      <c r="F19" s="1">
        <v>19967.125</v>
      </c>
      <c r="G19" s="1">
        <v>40891.2421875</v>
      </c>
      <c r="H19" s="1">
        <v>121947.6484375</v>
      </c>
      <c r="K19" s="1">
        <v>195619.0625</v>
      </c>
      <c r="L19" s="1">
        <v>165306.484375</v>
      </c>
      <c r="M19" s="1">
        <v>158563.703125</v>
      </c>
      <c r="P19" s="1">
        <v>74728.2265625</v>
      </c>
      <c r="Q19" s="1">
        <v>221474.171875</v>
      </c>
      <c r="R19" s="1">
        <v>195762.515625</v>
      </c>
      <c r="T19" s="3">
        <v>18</v>
      </c>
      <c r="U19" s="4">
        <f t="shared" si="0"/>
        <v>36905.305989583336</v>
      </c>
      <c r="V19" s="4">
        <f t="shared" si="1"/>
        <v>47908.6552734375</v>
      </c>
      <c r="W19" s="4">
        <f t="shared" si="2"/>
        <v>139981.0859375</v>
      </c>
      <c r="X19" s="4">
        <f t="shared" si="3"/>
        <v>130383.48046875</v>
      </c>
      <c r="Y19" s="4">
        <f t="shared" si="4"/>
        <v>122.83401489257812</v>
      </c>
      <c r="Z19" s="4">
        <f t="shared" si="5"/>
        <v>33.478546142578125</v>
      </c>
      <c r="AA19" s="4">
        <f t="shared" si="6"/>
        <v>-5.57421875</v>
      </c>
      <c r="AB19" s="4">
        <f t="shared" si="7"/>
        <v>-260.06667582194012</v>
      </c>
    </row>
    <row r="20" spans="1:28" x14ac:dyDescent="0.2">
      <c r="A20" s="1">
        <v>126302.796875</v>
      </c>
      <c r="B20" s="1">
        <v>113678.0078125</v>
      </c>
      <c r="C20" s="1">
        <v>116454.734375</v>
      </c>
      <c r="D20" s="1"/>
      <c r="F20" s="1">
        <v>25149.65234375</v>
      </c>
      <c r="G20" s="1">
        <v>53009.1015625</v>
      </c>
      <c r="H20" s="1">
        <v>148755.875</v>
      </c>
      <c r="K20" s="1">
        <v>232399.46875</v>
      </c>
      <c r="L20" s="1">
        <v>196079.546875</v>
      </c>
      <c r="M20" s="1">
        <v>188725.4375</v>
      </c>
      <c r="P20" s="1">
        <v>86063.40625</v>
      </c>
      <c r="Q20" s="1">
        <v>262629.25</v>
      </c>
      <c r="R20" s="1">
        <v>237153.25</v>
      </c>
      <c r="T20" s="3">
        <v>19</v>
      </c>
      <c r="U20" s="4">
        <f t="shared" si="0"/>
        <v>68323.1171875</v>
      </c>
      <c r="V20" s="4">
        <f t="shared" si="1"/>
        <v>60935.338541666664</v>
      </c>
      <c r="W20" s="4">
        <f t="shared" si="2"/>
        <v>173163.08333333334</v>
      </c>
      <c r="X20" s="4">
        <f t="shared" si="3"/>
        <v>163988.3046875</v>
      </c>
      <c r="Y20" s="4">
        <f t="shared" si="4"/>
        <v>211.63809839884439</v>
      </c>
      <c r="Z20" s="4">
        <f t="shared" si="5"/>
        <v>427.84324137369794</v>
      </c>
      <c r="AA20" s="4">
        <f t="shared" si="6"/>
        <v>168.35508728027344</v>
      </c>
      <c r="AB20" s="4">
        <f t="shared" si="7"/>
        <v>-145.86115519205728</v>
      </c>
    </row>
    <row r="21" spans="1:28" x14ac:dyDescent="0.2">
      <c r="A21" s="1">
        <v>196113.8125</v>
      </c>
      <c r="B21" s="1">
        <v>174633.984375</v>
      </c>
      <c r="C21" s="1">
        <v>183423.046875</v>
      </c>
      <c r="D21" s="1"/>
      <c r="F21" s="1">
        <v>30887.462890625</v>
      </c>
      <c r="G21" s="1">
        <v>65145.0390625</v>
      </c>
      <c r="H21" s="1">
        <v>175041.5</v>
      </c>
      <c r="K21" s="1">
        <v>265532.59375</v>
      </c>
      <c r="L21" s="1">
        <v>225929.84375</v>
      </c>
      <c r="M21" s="1">
        <v>217578.421875</v>
      </c>
      <c r="P21" s="1">
        <v>96112.6640625</v>
      </c>
      <c r="Q21" s="1">
        <v>298747.40625</v>
      </c>
      <c r="R21" s="1">
        <v>273718.71875</v>
      </c>
      <c r="T21" s="3">
        <v>20</v>
      </c>
      <c r="U21" s="4">
        <f t="shared" si="0"/>
        <v>118811.84635416667</v>
      </c>
      <c r="V21" s="4">
        <f t="shared" si="1"/>
        <v>75638.209635416672</v>
      </c>
      <c r="W21" s="4">
        <f t="shared" si="2"/>
        <v>205734.81770833334</v>
      </c>
      <c r="X21" s="4">
        <f t="shared" si="3"/>
        <v>195281.96875</v>
      </c>
      <c r="Y21" s="4">
        <f t="shared" si="4"/>
        <v>350.31327311197919</v>
      </c>
      <c r="Z21" s="4">
        <f t="shared" si="5"/>
        <v>307.27561950683594</v>
      </c>
      <c r="AA21" s="4">
        <f t="shared" si="6"/>
        <v>72.458872477213546</v>
      </c>
      <c r="AB21" s="4">
        <f t="shared" si="7"/>
        <v>248.99538167317709</v>
      </c>
    </row>
    <row r="22" spans="1:28" x14ac:dyDescent="0.2">
      <c r="A22" s="1">
        <v>270762.25</v>
      </c>
      <c r="B22" s="1">
        <v>238829.5</v>
      </c>
      <c r="C22" s="1">
        <v>256346.71875</v>
      </c>
      <c r="D22" s="1"/>
      <c r="F22" s="1">
        <v>36789.97265625</v>
      </c>
      <c r="G22" s="1">
        <v>78230.0546875</v>
      </c>
      <c r="H22" s="1">
        <v>200855.625</v>
      </c>
      <c r="K22" s="1">
        <v>296234.15625</v>
      </c>
      <c r="L22" s="1">
        <v>252824.71875</v>
      </c>
      <c r="M22" s="1">
        <v>243774.125</v>
      </c>
      <c r="P22" s="1">
        <v>102181.1328125</v>
      </c>
      <c r="Q22" s="1">
        <v>329272.53125</v>
      </c>
      <c r="R22" s="1">
        <v>305680.4375</v>
      </c>
      <c r="T22" s="3">
        <v>21</v>
      </c>
      <c r="U22" s="4">
        <f t="shared" si="0"/>
        <v>184723.61458333334</v>
      </c>
      <c r="V22" s="4">
        <f t="shared" si="1"/>
        <v>90358.000651041672</v>
      </c>
      <c r="W22" s="4">
        <f t="shared" si="2"/>
        <v>236346.953125</v>
      </c>
      <c r="X22" s="4">
        <f t="shared" si="3"/>
        <v>222859.59635416666</v>
      </c>
      <c r="Y22" s="4">
        <f t="shared" si="4"/>
        <v>983.90380732218421</v>
      </c>
      <c r="Z22" s="4">
        <f t="shared" si="5"/>
        <v>374.09344482421875</v>
      </c>
      <c r="AA22" s="4">
        <f t="shared" si="6"/>
        <v>427.81526056925458</v>
      </c>
      <c r="AB22" s="4">
        <f t="shared" si="7"/>
        <v>430.52638626098633</v>
      </c>
    </row>
    <row r="23" spans="1:28" x14ac:dyDescent="0.2">
      <c r="A23" s="1">
        <v>339463.8125</v>
      </c>
      <c r="B23" s="1">
        <v>299834.71875</v>
      </c>
      <c r="C23" s="1">
        <v>326549.90625</v>
      </c>
      <c r="D23" s="1"/>
      <c r="F23" s="1">
        <v>42801.23046875</v>
      </c>
      <c r="G23" s="1">
        <v>92666.8828125</v>
      </c>
      <c r="H23" s="1">
        <v>226484.40625</v>
      </c>
      <c r="K23" s="1">
        <v>324262.9375</v>
      </c>
      <c r="L23" s="1">
        <v>277912.125</v>
      </c>
      <c r="M23" s="1">
        <v>268738.03125</v>
      </c>
      <c r="P23" s="1">
        <v>125697.390625</v>
      </c>
      <c r="Q23" s="1">
        <v>356732.03125</v>
      </c>
      <c r="R23" s="1">
        <v>334030.21875</v>
      </c>
      <c r="T23" s="3">
        <v>22</v>
      </c>
      <c r="U23" s="4">
        <f t="shared" si="0"/>
        <v>255312.82291666666</v>
      </c>
      <c r="V23" s="4">
        <f t="shared" si="1"/>
        <v>105291.88411458333</v>
      </c>
      <c r="W23" s="4">
        <f t="shared" si="2"/>
        <v>264277.66666666669</v>
      </c>
      <c r="X23" s="4">
        <f t="shared" si="3"/>
        <v>245711.3671875</v>
      </c>
      <c r="Y23" s="4">
        <f t="shared" si="4"/>
        <v>1304.3680419921875</v>
      </c>
      <c r="Z23" s="4">
        <f t="shared" si="5"/>
        <v>343.77584838867188</v>
      </c>
      <c r="AA23" s="4">
        <f t="shared" si="6"/>
        <v>920.35915120442712</v>
      </c>
      <c r="AB23" s="4">
        <f t="shared" si="7"/>
        <v>885.83868408203125</v>
      </c>
    </row>
    <row r="24" spans="1:28" x14ac:dyDescent="0.2">
      <c r="A24" s="1">
        <v>399205.625</v>
      </c>
      <c r="B24" s="1">
        <v>354006.15625</v>
      </c>
      <c r="C24" s="1">
        <v>389773.125</v>
      </c>
      <c r="D24" s="1"/>
      <c r="F24" s="1">
        <v>48206.34375</v>
      </c>
      <c r="G24" s="1">
        <v>106651.0390625</v>
      </c>
      <c r="H24" s="1">
        <v>251549.859375</v>
      </c>
      <c r="K24" s="1">
        <v>350108.9375</v>
      </c>
      <c r="L24" s="1">
        <v>300942.90625</v>
      </c>
      <c r="M24" s="1">
        <v>291543.25</v>
      </c>
      <c r="P24" s="1">
        <v>195612.828125</v>
      </c>
      <c r="Q24" s="1">
        <v>380486.03125</v>
      </c>
      <c r="R24" s="1">
        <v>359139.84375</v>
      </c>
      <c r="T24" s="3">
        <v>23</v>
      </c>
      <c r="U24" s="4">
        <f t="shared" si="0"/>
        <v>321949.47916666669</v>
      </c>
      <c r="V24" s="4">
        <f t="shared" si="1"/>
        <v>120650.83984375</v>
      </c>
      <c r="W24" s="4">
        <f t="shared" si="2"/>
        <v>290304.36458333331</v>
      </c>
      <c r="X24" s="4">
        <f t="shared" si="3"/>
        <v>272153.21354166669</v>
      </c>
      <c r="Y24" s="4">
        <f t="shared" si="4"/>
        <v>1356.4065043131511</v>
      </c>
      <c r="Z24" s="4">
        <f t="shared" si="5"/>
        <v>671.85927327473962</v>
      </c>
      <c r="AA24" s="4">
        <f t="shared" si="6"/>
        <v>1099.1843363444011</v>
      </c>
      <c r="AB24" s="4">
        <f t="shared" si="7"/>
        <v>1261.6795654296875</v>
      </c>
    </row>
    <row r="25" spans="1:28" x14ac:dyDescent="0.2">
      <c r="A25" s="1">
        <v>451830.28125</v>
      </c>
      <c r="B25" s="1">
        <v>401246.78125</v>
      </c>
      <c r="C25" s="1">
        <v>445198.53125</v>
      </c>
      <c r="D25" s="1"/>
      <c r="F25" s="1">
        <v>53571.34765625</v>
      </c>
      <c r="G25" s="1">
        <v>120534.8984375</v>
      </c>
      <c r="H25" s="1">
        <v>274162.5625</v>
      </c>
      <c r="K25" s="1">
        <v>372529.34375</v>
      </c>
      <c r="L25" s="1">
        <v>321538.5</v>
      </c>
      <c r="M25" s="1">
        <v>312917.875</v>
      </c>
      <c r="P25" s="1">
        <v>241567.046875</v>
      </c>
      <c r="Q25" s="1">
        <v>400782</v>
      </c>
      <c r="R25" s="1">
        <v>381852.96875</v>
      </c>
      <c r="T25" s="3">
        <v>24</v>
      </c>
      <c r="U25" s="4">
        <f t="shared" si="0"/>
        <v>380994.96875</v>
      </c>
      <c r="V25" s="4">
        <f t="shared" si="1"/>
        <v>135469.08072916666</v>
      </c>
      <c r="W25" s="4">
        <f t="shared" si="2"/>
        <v>314198.36458333331</v>
      </c>
      <c r="X25" s="4">
        <f t="shared" si="3"/>
        <v>311746.234375</v>
      </c>
      <c r="Y25" s="4">
        <f t="shared" si="4"/>
        <v>1870.7457478841145</v>
      </c>
      <c r="Z25" s="4">
        <f t="shared" si="5"/>
        <v>1227.7604573567708</v>
      </c>
      <c r="AA25" s="4">
        <f t="shared" si="6"/>
        <v>1476.8271382649739</v>
      </c>
      <c r="AB25" s="4">
        <f t="shared" si="7"/>
        <v>1961.8304036458333</v>
      </c>
    </row>
    <row r="26" spans="1:28" x14ac:dyDescent="0.2">
      <c r="A26" s="1">
        <v>495000.75</v>
      </c>
      <c r="B26" s="1">
        <v>440554.65625</v>
      </c>
      <c r="C26" s="1">
        <v>492883.5</v>
      </c>
      <c r="D26" s="1"/>
      <c r="F26" s="1">
        <v>59182.6953125</v>
      </c>
      <c r="G26" s="1">
        <v>134710.3125</v>
      </c>
      <c r="H26" s="1">
        <v>296249.1875</v>
      </c>
      <c r="K26" s="1">
        <v>392971.75</v>
      </c>
      <c r="L26" s="1">
        <v>341053.59375</v>
      </c>
      <c r="M26" s="1">
        <v>332238.9375</v>
      </c>
      <c r="P26" s="1">
        <v>276730.09375</v>
      </c>
      <c r="Q26" s="1">
        <v>418502.375</v>
      </c>
      <c r="R26" s="1">
        <v>400475.09375</v>
      </c>
      <c r="T26" s="3">
        <v>25</v>
      </c>
      <c r="U26" s="4">
        <f t="shared" si="0"/>
        <v>432758.53125</v>
      </c>
      <c r="V26" s="4">
        <f t="shared" si="1"/>
        <v>149422.93619791666</v>
      </c>
      <c r="W26" s="4">
        <f t="shared" si="2"/>
        <v>335661.90625</v>
      </c>
      <c r="X26" s="4">
        <f t="shared" si="3"/>
        <v>341400.671875</v>
      </c>
      <c r="Y26" s="4">
        <f t="shared" si="4"/>
        <v>3109.5107421875</v>
      </c>
      <c r="Z26" s="4">
        <f t="shared" si="5"/>
        <v>1742.8907877604167</v>
      </c>
      <c r="AA26" s="4">
        <f t="shared" si="6"/>
        <v>2187.9648234049478</v>
      </c>
      <c r="AB26" s="4">
        <f t="shared" si="7"/>
        <v>3411.0228678385415</v>
      </c>
    </row>
    <row r="27" spans="1:28" x14ac:dyDescent="0.2">
      <c r="A27" s="1">
        <v>531453.75</v>
      </c>
      <c r="B27" s="1">
        <v>474149.5</v>
      </c>
      <c r="C27" s="1">
        <v>533149.375</v>
      </c>
      <c r="D27" s="1"/>
      <c r="F27" s="1">
        <v>65370.93359375</v>
      </c>
      <c r="G27" s="1">
        <v>148439.828125</v>
      </c>
      <c r="H27" s="1">
        <v>317154.09375</v>
      </c>
      <c r="K27" s="1">
        <v>411620.84375</v>
      </c>
      <c r="L27" s="1">
        <v>358846.40625</v>
      </c>
      <c r="M27" s="1">
        <v>349670.65625</v>
      </c>
      <c r="P27" s="1">
        <v>305313.9375</v>
      </c>
      <c r="Q27" s="1">
        <v>434413.84375</v>
      </c>
      <c r="R27" s="1">
        <v>418290.625</v>
      </c>
      <c r="T27" s="3">
        <v>26</v>
      </c>
      <c r="U27" s="4">
        <f t="shared" si="0"/>
        <v>476146.30208333331</v>
      </c>
      <c r="V27" s="4">
        <f t="shared" si="1"/>
        <v>163380.73177083334</v>
      </c>
      <c r="W27" s="4">
        <f t="shared" si="2"/>
        <v>355421.42708333331</v>
      </c>
      <c r="X27" s="4">
        <f t="shared" si="3"/>
        <v>365235.85416666669</v>
      </c>
      <c r="Y27" s="4">
        <f t="shared" si="4"/>
        <v>5346.169108072917</v>
      </c>
      <c r="Z27" s="4">
        <f t="shared" si="5"/>
        <v>2229.4637451171875</v>
      </c>
      <c r="AA27" s="4">
        <f t="shared" si="6"/>
        <v>3144.253458658854</v>
      </c>
      <c r="AB27" s="4">
        <f t="shared" si="7"/>
        <v>5143.298665364583</v>
      </c>
    </row>
    <row r="28" spans="1:28" x14ac:dyDescent="0.2">
      <c r="A28" s="1">
        <v>562981.0625</v>
      </c>
      <c r="B28" s="1">
        <v>502548.5625</v>
      </c>
      <c r="C28" s="1">
        <v>566089.25</v>
      </c>
      <c r="D28" s="1"/>
      <c r="F28" s="1">
        <v>70266.171875</v>
      </c>
      <c r="G28" s="1">
        <v>161796.265625</v>
      </c>
      <c r="H28" s="1">
        <v>336432.3125</v>
      </c>
      <c r="K28" s="1">
        <v>428553.65625</v>
      </c>
      <c r="L28" s="1">
        <v>374499.65625</v>
      </c>
      <c r="M28" s="1">
        <v>366016.34375</v>
      </c>
      <c r="P28" s="1">
        <v>338224.71875</v>
      </c>
      <c r="Q28" s="1">
        <v>448562.875</v>
      </c>
      <c r="R28" s="1">
        <v>432375.90625</v>
      </c>
      <c r="T28" s="3">
        <v>27</v>
      </c>
      <c r="U28" s="4">
        <f t="shared" si="0"/>
        <v>512917.54166666669</v>
      </c>
      <c r="V28" s="4">
        <f t="shared" si="1"/>
        <v>176988.28515625</v>
      </c>
      <c r="W28" s="4">
        <f t="shared" si="2"/>
        <v>373379.30208333331</v>
      </c>
      <c r="X28" s="4">
        <f t="shared" si="3"/>
        <v>386006.13541666669</v>
      </c>
      <c r="Y28" s="4">
        <f t="shared" si="4"/>
        <v>9856.2662760416661</v>
      </c>
      <c r="Z28" s="4">
        <f t="shared" si="5"/>
        <v>2527.0576171875</v>
      </c>
      <c r="AA28" s="4">
        <f t="shared" si="6"/>
        <v>4913.974609375</v>
      </c>
      <c r="AB28" s="4">
        <f t="shared" si="7"/>
        <v>9178.5849609375</v>
      </c>
    </row>
    <row r="29" spans="1:28" x14ac:dyDescent="0.2">
      <c r="A29" s="1">
        <v>588904.75</v>
      </c>
      <c r="B29" s="1">
        <v>526771.6875</v>
      </c>
      <c r="C29" s="1">
        <v>595002.1875</v>
      </c>
      <c r="D29" s="1"/>
      <c r="F29" s="1">
        <v>76024.9609375</v>
      </c>
      <c r="G29" s="1">
        <v>174380.203125</v>
      </c>
      <c r="H29" s="1">
        <v>354097.96875</v>
      </c>
      <c r="K29" s="1">
        <v>443715.15625</v>
      </c>
      <c r="L29" s="1">
        <v>389610.71875</v>
      </c>
      <c r="M29" s="1">
        <v>381158.40625</v>
      </c>
      <c r="P29" s="1">
        <v>357769.125</v>
      </c>
      <c r="Q29" s="1">
        <v>460756.0625</v>
      </c>
      <c r="R29" s="1">
        <v>446490.71875</v>
      </c>
      <c r="T29" s="3">
        <v>28</v>
      </c>
      <c r="U29" s="4">
        <f t="shared" si="0"/>
        <v>543872.95833333337</v>
      </c>
      <c r="V29" s="4">
        <f t="shared" si="1"/>
        <v>189498.25</v>
      </c>
      <c r="W29" s="4">
        <f t="shared" si="2"/>
        <v>389689.88541666669</v>
      </c>
      <c r="X29" s="4">
        <f t="shared" si="3"/>
        <v>406387.83333333331</v>
      </c>
      <c r="Y29" s="4">
        <f t="shared" si="4"/>
        <v>18125.140625</v>
      </c>
      <c r="Z29" s="4">
        <f t="shared" si="5"/>
        <v>3522.021240234375</v>
      </c>
      <c r="AA29" s="4">
        <f t="shared" si="6"/>
        <v>7811.393391927083</v>
      </c>
      <c r="AB29" s="4">
        <f t="shared" si="7"/>
        <v>17062.027018229168</v>
      </c>
    </row>
    <row r="30" spans="1:28" x14ac:dyDescent="0.2">
      <c r="A30" s="1">
        <v>610865.0625</v>
      </c>
      <c r="B30" s="1">
        <v>547636.9375</v>
      </c>
      <c r="C30" s="1">
        <v>620399.25</v>
      </c>
      <c r="D30" s="1"/>
      <c r="F30" s="1">
        <v>80466.2265625</v>
      </c>
      <c r="G30" s="1">
        <v>186967.640625</v>
      </c>
      <c r="H30" s="1">
        <v>370667.28125</v>
      </c>
      <c r="K30" s="1">
        <v>456904.84375</v>
      </c>
      <c r="L30" s="1">
        <v>402623.3125</v>
      </c>
      <c r="M30" s="1">
        <v>395720.6875</v>
      </c>
      <c r="P30" s="1">
        <v>375140.0625</v>
      </c>
      <c r="Q30" s="1">
        <v>470919.96875</v>
      </c>
      <c r="R30" s="1">
        <v>457730.375</v>
      </c>
      <c r="T30" s="3">
        <v>29</v>
      </c>
      <c r="U30" s="4">
        <f t="shared" si="0"/>
        <v>570226.20833333337</v>
      </c>
      <c r="V30" s="4">
        <f t="shared" si="1"/>
        <v>201501.04427083334</v>
      </c>
      <c r="W30" s="4">
        <f t="shared" si="2"/>
        <v>404828.09375</v>
      </c>
      <c r="X30" s="4">
        <f t="shared" si="3"/>
        <v>421671.96875</v>
      </c>
      <c r="Y30" s="4">
        <f t="shared" si="4"/>
        <v>33596.067057291664</v>
      </c>
      <c r="Z30" s="4">
        <f t="shared" si="5"/>
        <v>4943.578694661458</v>
      </c>
      <c r="AA30" s="4">
        <f t="shared" si="6"/>
        <v>12744.677083333334</v>
      </c>
      <c r="AB30" s="4">
        <f t="shared" si="7"/>
        <v>31704.159505208332</v>
      </c>
    </row>
    <row r="31" spans="1:28" x14ac:dyDescent="0.2">
      <c r="A31" s="1">
        <v>629265.4375</v>
      </c>
      <c r="B31" s="1">
        <v>564857.1875</v>
      </c>
      <c r="C31" s="1">
        <v>641625.75</v>
      </c>
      <c r="D31" s="1"/>
      <c r="F31" s="1">
        <v>84959.359375</v>
      </c>
      <c r="G31" s="1">
        <v>198373.109375</v>
      </c>
      <c r="H31" s="1">
        <v>387114.0625</v>
      </c>
      <c r="K31" s="1">
        <v>468235.34375</v>
      </c>
      <c r="L31" s="1">
        <v>414410.25</v>
      </c>
      <c r="M31" s="1">
        <v>408592.25</v>
      </c>
      <c r="P31" s="1">
        <v>389296.71875</v>
      </c>
      <c r="Q31" s="1">
        <v>478872.8125</v>
      </c>
      <c r="R31" s="1">
        <v>467125.3125</v>
      </c>
      <c r="T31" s="3">
        <v>30</v>
      </c>
      <c r="U31" s="4">
        <f t="shared" si="0"/>
        <v>592967.08333333337</v>
      </c>
      <c r="V31" s="4">
        <f t="shared" si="1"/>
        <v>212700.3828125</v>
      </c>
      <c r="W31" s="4">
        <f t="shared" si="2"/>
        <v>418416.28125</v>
      </c>
      <c r="X31" s="4">
        <f t="shared" si="3"/>
        <v>434596.80208333331</v>
      </c>
      <c r="Y31" s="4">
        <f t="shared" si="4"/>
        <v>61323.302083333336</v>
      </c>
      <c r="Z31" s="4">
        <f t="shared" si="5"/>
        <v>6965.620524088542</v>
      </c>
      <c r="AA31" s="4">
        <f t="shared" si="6"/>
        <v>21939.593098958332</v>
      </c>
      <c r="AB31" s="4">
        <f t="shared" si="7"/>
        <v>56662.014322916664</v>
      </c>
    </row>
    <row r="32" spans="1:28" x14ac:dyDescent="0.2">
      <c r="A32" s="1">
        <v>645849.125</v>
      </c>
      <c r="B32" s="1">
        <v>579561.4375</v>
      </c>
      <c r="C32" s="1">
        <v>660363.3125</v>
      </c>
      <c r="D32" s="1"/>
      <c r="F32" s="1">
        <v>89498.671875</v>
      </c>
      <c r="G32" s="1">
        <v>209158.578125</v>
      </c>
      <c r="H32" s="1">
        <v>402308.28125</v>
      </c>
      <c r="K32" s="1">
        <v>477814.28125</v>
      </c>
      <c r="L32" s="1">
        <v>425627.1875</v>
      </c>
      <c r="M32" s="1">
        <v>419745.53125</v>
      </c>
      <c r="P32" s="1">
        <v>401019.46875</v>
      </c>
      <c r="Q32" s="1">
        <v>484963.15625</v>
      </c>
      <c r="R32" s="1">
        <v>476755.65625</v>
      </c>
      <c r="T32" s="3">
        <v>31</v>
      </c>
      <c r="U32" s="4">
        <f t="shared" si="0"/>
        <v>611916.125</v>
      </c>
      <c r="V32" s="4">
        <f t="shared" si="1"/>
        <v>223482.17708333334</v>
      </c>
      <c r="W32" s="4">
        <f t="shared" si="2"/>
        <v>430412.61458333331</v>
      </c>
      <c r="X32" s="4">
        <f t="shared" si="3"/>
        <v>445098.28125</v>
      </c>
      <c r="Y32" s="4">
        <f t="shared" si="4"/>
        <v>107005.75260416667</v>
      </c>
      <c r="Z32" s="4">
        <f t="shared" si="5"/>
        <v>10312.703776041666</v>
      </c>
      <c r="AA32" s="4">
        <f t="shared" si="6"/>
        <v>36717.067057291664</v>
      </c>
      <c r="AB32" s="4">
        <f t="shared" si="7"/>
        <v>95668.916666666672</v>
      </c>
    </row>
    <row r="33" spans="1:28" x14ac:dyDescent="0.2">
      <c r="A33" s="1">
        <v>660509.875</v>
      </c>
      <c r="B33" s="1">
        <v>592779.3125</v>
      </c>
      <c r="C33" s="1">
        <v>676100.125</v>
      </c>
      <c r="D33" s="1"/>
      <c r="F33" s="1">
        <v>93417.0546875</v>
      </c>
      <c r="G33" s="1">
        <v>220095.859375</v>
      </c>
      <c r="H33" s="1">
        <v>416571.4375</v>
      </c>
      <c r="K33" s="1">
        <v>488468.34375</v>
      </c>
      <c r="L33" s="1">
        <v>436354.65625</v>
      </c>
      <c r="M33" s="1">
        <v>431027.4375</v>
      </c>
      <c r="P33" s="1">
        <v>411759.6875</v>
      </c>
      <c r="Q33" s="1">
        <v>493188.78125</v>
      </c>
      <c r="R33" s="1">
        <v>485260.96875</v>
      </c>
      <c r="T33" s="3">
        <v>32</v>
      </c>
      <c r="U33" s="4">
        <f t="shared" si="0"/>
        <v>628591.29166666663</v>
      </c>
      <c r="V33" s="4">
        <f t="shared" si="1"/>
        <v>233655.17708333334</v>
      </c>
      <c r="W33" s="4">
        <f t="shared" si="2"/>
        <v>441062.33333333331</v>
      </c>
      <c r="X33" s="4">
        <f t="shared" si="3"/>
        <v>454246.09375</v>
      </c>
      <c r="Y33" s="4">
        <f t="shared" si="4"/>
        <v>172850.265625</v>
      </c>
      <c r="Z33" s="4">
        <f t="shared" si="5"/>
        <v>14315.449055989584</v>
      </c>
      <c r="AA33" s="4">
        <f t="shared" si="6"/>
        <v>58065.764322916664</v>
      </c>
      <c r="AB33" s="4">
        <f t="shared" si="7"/>
        <v>147914.57291666666</v>
      </c>
    </row>
    <row r="34" spans="1:28" x14ac:dyDescent="0.2">
      <c r="A34" s="1">
        <v>672032.625</v>
      </c>
      <c r="B34" s="1">
        <v>604936.25</v>
      </c>
      <c r="C34" s="1">
        <v>690076.8125</v>
      </c>
      <c r="D34" s="1"/>
      <c r="F34" s="1">
        <v>97539.234375</v>
      </c>
      <c r="G34" s="1">
        <v>230699.234375</v>
      </c>
      <c r="H34" s="1">
        <v>430787.28125</v>
      </c>
      <c r="K34" s="1">
        <v>498275.84375</v>
      </c>
      <c r="L34" s="1">
        <v>446393.03125</v>
      </c>
      <c r="M34" s="1">
        <v>441093.1875</v>
      </c>
      <c r="P34" s="1">
        <v>421050.21875</v>
      </c>
      <c r="Q34" s="1">
        <v>498259.5625</v>
      </c>
      <c r="R34" s="1">
        <v>491696.125</v>
      </c>
      <c r="T34" s="3">
        <v>33</v>
      </c>
      <c r="U34" s="4">
        <f t="shared" si="0"/>
        <v>643129.77083333337</v>
      </c>
      <c r="V34" s="4">
        <f t="shared" si="1"/>
        <v>243361.45052083334</v>
      </c>
      <c r="W34" s="4">
        <f t="shared" si="2"/>
        <v>451950.14583333331</v>
      </c>
      <c r="X34" s="4">
        <f t="shared" si="3"/>
        <v>463403.14583333331</v>
      </c>
      <c r="Y34" s="4">
        <f t="shared" si="4"/>
        <v>250602.234375</v>
      </c>
      <c r="Z34" s="4">
        <f t="shared" si="5"/>
        <v>19330.772135416668</v>
      </c>
      <c r="AA34" s="4">
        <f t="shared" si="6"/>
        <v>85406.174479166672</v>
      </c>
      <c r="AB34" s="4">
        <f t="shared" si="7"/>
        <v>204565.65625</v>
      </c>
    </row>
    <row r="35" spans="1:28" x14ac:dyDescent="0.2">
      <c r="A35" s="1">
        <v>680405.375</v>
      </c>
      <c r="B35" s="1">
        <v>613357.8125</v>
      </c>
      <c r="C35" s="1">
        <v>700539.8125</v>
      </c>
      <c r="D35" s="1"/>
      <c r="F35" s="1">
        <v>100848.3125</v>
      </c>
      <c r="G35" s="1">
        <v>239120.640625</v>
      </c>
      <c r="H35" s="1">
        <v>441252.53125</v>
      </c>
      <c r="K35" s="1">
        <v>504939.21875</v>
      </c>
      <c r="L35" s="1">
        <v>454000.78125</v>
      </c>
      <c r="M35" s="1">
        <v>448611</v>
      </c>
      <c r="P35" s="1">
        <v>428234.1875</v>
      </c>
      <c r="Q35" s="1">
        <v>502299.28125</v>
      </c>
      <c r="R35" s="1">
        <v>496968.4375</v>
      </c>
      <c r="T35" s="3">
        <v>34</v>
      </c>
      <c r="U35" s="4">
        <f t="shared" si="0"/>
        <v>655681.89583333337</v>
      </c>
      <c r="V35" s="4">
        <f t="shared" si="1"/>
        <v>253008.58333333334</v>
      </c>
      <c r="W35" s="4">
        <f t="shared" si="2"/>
        <v>461920.6875</v>
      </c>
      <c r="X35" s="4">
        <f t="shared" si="3"/>
        <v>470335.30208333331</v>
      </c>
      <c r="Y35" s="4">
        <f t="shared" si="4"/>
        <v>327480.53125</v>
      </c>
      <c r="Z35" s="4">
        <f t="shared" si="5"/>
        <v>25815.625651041668</v>
      </c>
      <c r="AA35" s="4">
        <f t="shared" si="6"/>
        <v>117132.20572916667</v>
      </c>
      <c r="AB35" s="4">
        <f t="shared" si="7"/>
        <v>260954.3125</v>
      </c>
    </row>
    <row r="36" spans="1:28" x14ac:dyDescent="0.2">
      <c r="T36" s="3">
        <v>35</v>
      </c>
      <c r="U36" s="4">
        <f t="shared" si="0"/>
        <v>664767.66666666663</v>
      </c>
      <c r="V36" s="4">
        <f t="shared" si="1"/>
        <v>260407.16145833334</v>
      </c>
      <c r="W36" s="4">
        <f t="shared" si="2"/>
        <v>469183.66666666669</v>
      </c>
      <c r="X36" s="4">
        <f t="shared" si="3"/>
        <v>475833.96875</v>
      </c>
      <c r="Y36" s="4">
        <f t="shared" si="4"/>
        <v>388246.84375</v>
      </c>
      <c r="Z36" s="4">
        <f t="shared" si="5"/>
        <v>32735.2265625</v>
      </c>
      <c r="AA36" s="4">
        <f t="shared" si="6"/>
        <v>145855.41145833334</v>
      </c>
      <c r="AB36" s="4">
        <f t="shared" si="7"/>
        <v>307979.25</v>
      </c>
    </row>
    <row r="38" spans="1:28" x14ac:dyDescent="0.2">
      <c r="A38" s="1">
        <v>1523.9158935546875</v>
      </c>
      <c r="B38" s="1">
        <v>349.52291870117188</v>
      </c>
      <c r="C38" s="1">
        <v>519.11370849609375</v>
      </c>
      <c r="F38" s="1">
        <v>-1499.796142578125</v>
      </c>
      <c r="G38" s="1">
        <v>-1475.942626953125</v>
      </c>
      <c r="H38" s="1">
        <v>-1898.2374267578125</v>
      </c>
      <c r="K38" s="1">
        <v>4244.0263671875</v>
      </c>
      <c r="L38" s="1">
        <v>-924.29364013671875</v>
      </c>
      <c r="M38" s="1">
        <v>-1328.7801513671875</v>
      </c>
      <c r="P38" s="1">
        <v>-2481.708984375</v>
      </c>
      <c r="Q38" s="1">
        <v>-2317.012939453125</v>
      </c>
      <c r="R38" s="1">
        <v>-872.82562255859375</v>
      </c>
    </row>
    <row r="39" spans="1:28" x14ac:dyDescent="0.2">
      <c r="A39" s="1">
        <v>1495.017822265625</v>
      </c>
      <c r="B39" s="1">
        <v>529.40625</v>
      </c>
      <c r="C39" s="1">
        <v>645.329833984375</v>
      </c>
      <c r="F39" s="1">
        <v>-421.84793090820312</v>
      </c>
      <c r="G39" s="1">
        <v>-275.80209350585938</v>
      </c>
      <c r="H39" s="1">
        <v>-682.1226806640625</v>
      </c>
      <c r="K39" s="1">
        <v>4391.9619140625</v>
      </c>
      <c r="L39" s="1">
        <v>-633.56640625</v>
      </c>
      <c r="M39" s="1">
        <v>-87.850410461425781</v>
      </c>
      <c r="P39" s="1">
        <v>-1837.9453125</v>
      </c>
      <c r="Q39" s="1">
        <v>-1562.843017578125</v>
      </c>
      <c r="R39" s="1">
        <v>15.364994049072266</v>
      </c>
    </row>
    <row r="40" spans="1:28" x14ac:dyDescent="0.2">
      <c r="A40" s="1">
        <v>367.09228515625</v>
      </c>
      <c r="B40" s="1">
        <v>291.72708129882812</v>
      </c>
      <c r="C40" s="1">
        <v>731.57720947265625</v>
      </c>
      <c r="F40" s="1">
        <v>308.7720947265625</v>
      </c>
      <c r="G40" s="1">
        <v>536.66650390625</v>
      </c>
      <c r="H40" s="1">
        <v>-68.867233276367188</v>
      </c>
      <c r="K40" s="1">
        <v>3403.944580078125</v>
      </c>
      <c r="L40" s="1">
        <v>-439.24542236328125</v>
      </c>
      <c r="M40" s="1">
        <v>82.438682556152344</v>
      </c>
      <c r="P40" s="1">
        <v>-775.71295166015625</v>
      </c>
      <c r="Q40" s="1">
        <v>-894.2276611328125</v>
      </c>
      <c r="R40" s="1">
        <v>602.11029052734375</v>
      </c>
    </row>
    <row r="41" spans="1:28" x14ac:dyDescent="0.2">
      <c r="A41" s="1">
        <v>101.40116882324219</v>
      </c>
      <c r="B41" s="1">
        <v>-378.36618041992188</v>
      </c>
      <c r="C41" s="1">
        <v>434.3714599609375</v>
      </c>
      <c r="F41" s="1">
        <v>373.36090087890625</v>
      </c>
      <c r="G41" s="1">
        <v>257.8695068359375</v>
      </c>
      <c r="H41" s="1">
        <v>180.96630859375</v>
      </c>
      <c r="K41" s="1">
        <v>839.30224609375</v>
      </c>
      <c r="L41" s="1">
        <v>145.90365600585938</v>
      </c>
      <c r="M41" s="1">
        <v>-217.459716796875</v>
      </c>
      <c r="P41" s="1">
        <v>-381.3399658203125</v>
      </c>
      <c r="Q41" s="1">
        <v>-227.37788391113281</v>
      </c>
      <c r="R41" s="1">
        <v>803.91815185546875</v>
      </c>
    </row>
    <row r="42" spans="1:28" x14ac:dyDescent="0.2">
      <c r="A42" s="1">
        <v>171.25302124023438</v>
      </c>
      <c r="B42" s="1">
        <v>-477.37347412109375</v>
      </c>
      <c r="C42" s="1">
        <v>33.314155578613281</v>
      </c>
      <c r="F42" s="1">
        <v>14.44968318939209</v>
      </c>
      <c r="G42" s="1">
        <v>-225.224365234375</v>
      </c>
      <c r="H42" s="1">
        <v>185.94047546386719</v>
      </c>
      <c r="K42" s="1">
        <v>157.8707275390625</v>
      </c>
      <c r="L42" s="1">
        <v>411.59963989257812</v>
      </c>
      <c r="M42" s="1">
        <v>-171.42062377929688</v>
      </c>
      <c r="P42" s="1">
        <v>-250.51383972167969</v>
      </c>
      <c r="Q42" s="1">
        <v>270.46405029296875</v>
      </c>
      <c r="R42" s="1">
        <v>690.7259521484375</v>
      </c>
    </row>
    <row r="43" spans="1:28" x14ac:dyDescent="0.2">
      <c r="A43" s="1">
        <v>77.276756286621094</v>
      </c>
      <c r="B43" s="1">
        <v>-40.076095581054688</v>
      </c>
      <c r="C43" s="1">
        <v>-1118.6650390625</v>
      </c>
      <c r="F43" s="1">
        <v>-400.21151733398438</v>
      </c>
      <c r="G43" s="1">
        <v>-265.58389282226562</v>
      </c>
      <c r="H43" s="1">
        <v>-62.444728851318359</v>
      </c>
      <c r="K43" s="1">
        <v>-335.77169799804688</v>
      </c>
      <c r="L43" s="1">
        <v>362.07684326171875</v>
      </c>
      <c r="M43" s="1">
        <v>0.39971253275871277</v>
      </c>
      <c r="P43" s="1">
        <v>81.038833618164062</v>
      </c>
      <c r="Q43" s="1">
        <v>242.50128173828125</v>
      </c>
      <c r="R43" s="1">
        <v>-703.4505615234375</v>
      </c>
    </row>
    <row r="44" spans="1:28" x14ac:dyDescent="0.2">
      <c r="A44" s="1">
        <v>-6.3791990280151367</v>
      </c>
      <c r="B44" s="1">
        <v>529.1666259765625</v>
      </c>
      <c r="C44" s="1">
        <v>-1166.5894775390625</v>
      </c>
      <c r="F44" s="1">
        <v>-288.09149169921875</v>
      </c>
      <c r="G44" s="1">
        <v>-330.67776489257812</v>
      </c>
      <c r="H44" s="1">
        <v>71.951316833496094</v>
      </c>
      <c r="K44" s="1">
        <v>-916.73443603515625</v>
      </c>
      <c r="L44" s="1">
        <v>271.4290771484375</v>
      </c>
      <c r="M44" s="1">
        <v>139.50131225585938</v>
      </c>
      <c r="P44" s="1">
        <v>383.58370971679688</v>
      </c>
      <c r="Q44" s="1">
        <v>260.16351318359375</v>
      </c>
      <c r="R44" s="1">
        <v>-751.13494873046875</v>
      </c>
    </row>
    <row r="45" spans="1:28" x14ac:dyDescent="0.2">
      <c r="A45" s="1">
        <v>37.26171875</v>
      </c>
      <c r="B45" s="1">
        <v>511.7139892578125</v>
      </c>
      <c r="C45" s="1">
        <v>-295.9202880859375</v>
      </c>
      <c r="F45" s="1">
        <v>234.059814453125</v>
      </c>
      <c r="G45" s="1">
        <v>-100.11540222167969</v>
      </c>
      <c r="H45" s="1">
        <v>405.01922607421875</v>
      </c>
      <c r="K45" s="1">
        <v>-1301.408203125</v>
      </c>
      <c r="L45" s="1">
        <v>-332.23431396484375</v>
      </c>
      <c r="M45" s="1">
        <v>263.4700927734375</v>
      </c>
      <c r="P45" s="1">
        <v>888.9019775390625</v>
      </c>
      <c r="Q45" s="1">
        <v>428.76327514648438</v>
      </c>
      <c r="R45" s="1">
        <v>399.22756958007812</v>
      </c>
    </row>
    <row r="46" spans="1:28" x14ac:dyDescent="0.2">
      <c r="A46" s="1">
        <v>157.12919616699219</v>
      </c>
      <c r="B46" s="1">
        <v>136.01918029785156</v>
      </c>
      <c r="C46" s="1">
        <v>366.86614990234375</v>
      </c>
      <c r="F46" s="1">
        <v>376.21109008789062</v>
      </c>
      <c r="G46" s="1">
        <v>389.13446044921875</v>
      </c>
      <c r="H46" s="1">
        <v>341.290283203125</v>
      </c>
      <c r="K46" s="1">
        <v>-1261.730224609375</v>
      </c>
      <c r="L46" s="1">
        <v>-609.757080078125</v>
      </c>
      <c r="M46" s="1">
        <v>332.21231079101562</v>
      </c>
      <c r="P46" s="1">
        <v>1074.3843994140625</v>
      </c>
      <c r="Q46" s="1">
        <v>-186.22293090820312</v>
      </c>
      <c r="R46" s="1">
        <v>516.738525390625</v>
      </c>
    </row>
    <row r="47" spans="1:28" x14ac:dyDescent="0.2">
      <c r="A47" s="1">
        <v>-147.77285766601562</v>
      </c>
      <c r="B47" s="1">
        <v>-14.574066162109375</v>
      </c>
      <c r="C47" s="1">
        <v>590.613525390625</v>
      </c>
      <c r="F47" s="1">
        <v>77.581146240234375</v>
      </c>
      <c r="G47" s="1">
        <v>22.274944305419922</v>
      </c>
      <c r="H47" s="1">
        <v>207.78007507324219</v>
      </c>
      <c r="K47" s="1">
        <v>-976.28680419921875</v>
      </c>
      <c r="L47" s="1">
        <v>-442.06112670898438</v>
      </c>
      <c r="M47" s="1">
        <v>98.313896179199219</v>
      </c>
      <c r="P47" s="1">
        <v>786.74169921875</v>
      </c>
      <c r="Q47" s="1">
        <v>-364.4903564453125</v>
      </c>
      <c r="R47" s="1">
        <v>-310.96926879882812</v>
      </c>
    </row>
    <row r="48" spans="1:28" x14ac:dyDescent="0.2">
      <c r="A48" s="1">
        <v>-352.71395874023438</v>
      </c>
      <c r="B48" s="1">
        <v>-22.456371307373047</v>
      </c>
      <c r="C48" s="1">
        <v>359.72030639648438</v>
      </c>
      <c r="F48" s="1">
        <v>-244.36131286621094</v>
      </c>
      <c r="G48" s="1">
        <v>-78.443939208984375</v>
      </c>
      <c r="H48" s="1">
        <v>-325.73013305664062</v>
      </c>
      <c r="K48" s="1">
        <v>-957.32763671875</v>
      </c>
      <c r="L48" s="1">
        <v>50.994216918945312</v>
      </c>
      <c r="M48" s="1">
        <v>-162.55325317382812</v>
      </c>
      <c r="P48" s="1">
        <v>-436.69778442382812</v>
      </c>
      <c r="Q48" s="1">
        <v>-159.8359375</v>
      </c>
      <c r="R48" s="1">
        <v>-530.16925048828125</v>
      </c>
    </row>
    <row r="49" spans="1:18" x14ac:dyDescent="0.2">
      <c r="A49" s="1">
        <v>-911.86993408203125</v>
      </c>
      <c r="B49" s="1">
        <v>106.15351104736328</v>
      </c>
      <c r="C49" s="1">
        <v>179.71766662597656</v>
      </c>
      <c r="F49" s="1">
        <v>-150.21002197265625</v>
      </c>
      <c r="G49" s="1">
        <v>-402.131591796875</v>
      </c>
      <c r="H49" s="1">
        <v>-341.3184814453125</v>
      </c>
      <c r="K49" s="1">
        <v>-1005.3216552734375</v>
      </c>
      <c r="L49" s="1">
        <v>495.549560546875</v>
      </c>
      <c r="M49" s="1">
        <v>-56.311042785644531</v>
      </c>
      <c r="P49" s="1">
        <v>-628.92633056640625</v>
      </c>
      <c r="Q49" s="1">
        <v>460.8262939453125</v>
      </c>
      <c r="R49" s="1">
        <v>-697.6036376953125</v>
      </c>
    </row>
    <row r="50" spans="1:18" x14ac:dyDescent="0.2">
      <c r="A50" s="1">
        <v>-810.77587890625</v>
      </c>
      <c r="B50" s="1">
        <v>16.013393402099609</v>
      </c>
      <c r="C50" s="1">
        <v>-16.792764663696289</v>
      </c>
      <c r="F50" s="1">
        <v>17.28502082824707</v>
      </c>
      <c r="G50" s="1">
        <v>-252.0692138671875</v>
      </c>
      <c r="H50" s="1">
        <v>-443.50054931640625</v>
      </c>
      <c r="K50" s="1">
        <v>-621.729736328125</v>
      </c>
      <c r="L50" s="1">
        <v>356.54241943359375</v>
      </c>
      <c r="M50" s="1">
        <v>154.39993286132812</v>
      </c>
      <c r="P50" s="1">
        <v>-408.84243774414062</v>
      </c>
      <c r="Q50" s="1">
        <v>180.55105590820312</v>
      </c>
      <c r="R50" s="1">
        <v>-684.9129638671875</v>
      </c>
    </row>
    <row r="51" spans="1:18" x14ac:dyDescent="0.2">
      <c r="A51" s="1">
        <v>-164.22480773925781</v>
      </c>
      <c r="B51" s="1">
        <v>-369.35330200195312</v>
      </c>
      <c r="C51" s="1">
        <v>26.345237731933594</v>
      </c>
      <c r="F51" s="1">
        <v>-108.06369018554688</v>
      </c>
      <c r="G51" s="1">
        <v>41.415023803710938</v>
      </c>
      <c r="H51" s="1">
        <v>-418.60452270507812</v>
      </c>
      <c r="K51" s="1">
        <v>-183.84872436523438</v>
      </c>
      <c r="L51" s="1">
        <v>256.76962280273438</v>
      </c>
      <c r="M51" s="1">
        <v>182.05621337890625</v>
      </c>
      <c r="P51" s="1">
        <v>-251.88349914550781</v>
      </c>
      <c r="Q51" s="1">
        <v>205.70547485351562</v>
      </c>
      <c r="R51" s="1">
        <v>-682.83172607421875</v>
      </c>
    </row>
    <row r="52" spans="1:18" x14ac:dyDescent="0.2">
      <c r="A52" s="1">
        <v>310.52548217773438</v>
      </c>
      <c r="B52" s="1">
        <v>-367.759033203125</v>
      </c>
      <c r="C52" s="1">
        <v>186.46762084960938</v>
      </c>
      <c r="F52" s="1">
        <v>-43.678020477294922</v>
      </c>
      <c r="G52" s="1">
        <v>-270.06948852539062</v>
      </c>
      <c r="H52" s="1">
        <v>-397.70846557617188</v>
      </c>
      <c r="K52" s="1">
        <v>-136.96772766113281</v>
      </c>
      <c r="L52" s="1">
        <v>117.80154418945312</v>
      </c>
      <c r="M52" s="1">
        <v>-343.35000610351562</v>
      </c>
      <c r="P52" s="1">
        <v>-58.158950805664062</v>
      </c>
      <c r="Q52" s="1">
        <v>765.25054931640625</v>
      </c>
      <c r="R52" s="1">
        <v>-508.71139526367188</v>
      </c>
    </row>
    <row r="53" spans="1:18" x14ac:dyDescent="0.2">
      <c r="A53" s="1">
        <v>355.03359985351562</v>
      </c>
      <c r="B53" s="1">
        <v>-82.742897033691406</v>
      </c>
      <c r="C53" s="1">
        <v>-165.12094116210938</v>
      </c>
      <c r="F53" s="1">
        <v>-104.54235076904297</v>
      </c>
      <c r="G53" s="1">
        <v>-129.63212585449219</v>
      </c>
      <c r="H53" s="1">
        <v>-612.71868896484375</v>
      </c>
      <c r="K53" s="1">
        <v>230.57734680175781</v>
      </c>
      <c r="L53" s="1">
        <v>82.716262817382812</v>
      </c>
      <c r="M53" s="1">
        <v>-220.6077880859375</v>
      </c>
      <c r="P53" s="1">
        <v>75.596855163574219</v>
      </c>
      <c r="Q53" s="1">
        <v>654.02996826171875</v>
      </c>
      <c r="R53" s="1">
        <v>-96.731689453125</v>
      </c>
    </row>
    <row r="54" spans="1:18" x14ac:dyDescent="0.2">
      <c r="A54" s="1">
        <v>395.31512451171875</v>
      </c>
      <c r="B54" s="1">
        <v>-151.10176086425781</v>
      </c>
      <c r="C54" s="1">
        <v>-145.90481567382812</v>
      </c>
      <c r="F54" s="1">
        <v>-950.18792724609375</v>
      </c>
      <c r="G54" s="1">
        <v>225.91461181640625</v>
      </c>
      <c r="H54" s="1">
        <v>-316.6195068359375</v>
      </c>
      <c r="K54" s="1">
        <v>547.02081298828125</v>
      </c>
      <c r="L54" s="1">
        <v>-458.0721435546875</v>
      </c>
      <c r="M54" s="1">
        <v>79.290672302246094</v>
      </c>
      <c r="P54" s="1">
        <v>92.305778503417969</v>
      </c>
      <c r="Q54" s="1">
        <v>-107.66716766357422</v>
      </c>
      <c r="R54" s="1">
        <v>267.99801635742188</v>
      </c>
    </row>
    <row r="55" spans="1:18" x14ac:dyDescent="0.2">
      <c r="A55" s="1">
        <v>421.4482421875</v>
      </c>
      <c r="B55" s="1">
        <v>-123.89031982421875</v>
      </c>
      <c r="C55" s="1">
        <v>70.944122314453125</v>
      </c>
      <c r="F55" s="1">
        <v>-746.42724609375</v>
      </c>
      <c r="G55" s="1">
        <v>486.41445922851562</v>
      </c>
      <c r="H55" s="1">
        <v>360.44842529296875</v>
      </c>
      <c r="K55" s="1">
        <v>723.76904296875</v>
      </c>
      <c r="L55" s="1">
        <v>-443.59490966796875</v>
      </c>
      <c r="M55" s="1">
        <v>-296.89678955078125</v>
      </c>
      <c r="P55" s="1">
        <v>-190.47747802734375</v>
      </c>
      <c r="Q55" s="1">
        <v>-783.10650634765625</v>
      </c>
      <c r="R55" s="1">
        <v>193.38395690917969</v>
      </c>
    </row>
    <row r="56" spans="1:18" x14ac:dyDescent="0.2">
      <c r="A56" s="1">
        <v>495.47198486328125</v>
      </c>
      <c r="B56" s="1">
        <v>42.227375030517578</v>
      </c>
      <c r="C56" s="1">
        <v>97.214935302734375</v>
      </c>
      <c r="F56" s="1">
        <v>219.02090454101562</v>
      </c>
      <c r="G56" s="1">
        <v>385.07058715820312</v>
      </c>
      <c r="H56" s="1">
        <v>679.438232421875</v>
      </c>
      <c r="K56" s="1">
        <v>1000.8453369140625</v>
      </c>
      <c r="L56" s="1">
        <v>-222.49269104003906</v>
      </c>
      <c r="M56" s="1">
        <v>-273.28738403320312</v>
      </c>
      <c r="P56" s="1">
        <v>-8.5185546875</v>
      </c>
      <c r="Q56" s="1">
        <v>-745.3270263671875</v>
      </c>
      <c r="R56" s="1">
        <v>316.26211547851562</v>
      </c>
    </row>
    <row r="57" spans="1:18" x14ac:dyDescent="0.2">
      <c r="A57" s="1">
        <v>786.6246337890625</v>
      </c>
      <c r="B57" s="1">
        <v>-136.07681274414062</v>
      </c>
      <c r="C57" s="1">
        <v>400.39199829101562</v>
      </c>
      <c r="F57" s="1">
        <v>541.42218017578125</v>
      </c>
      <c r="G57" s="1">
        <v>-174.27330017089844</v>
      </c>
      <c r="H57" s="1">
        <v>554.677978515625</v>
      </c>
      <c r="K57" s="1">
        <v>793.796630859375</v>
      </c>
      <c r="L57" s="1">
        <v>-172.28109741210938</v>
      </c>
      <c r="M57" s="1">
        <v>-404.138916015625</v>
      </c>
      <c r="P57" s="1">
        <v>512.68255615234375</v>
      </c>
      <c r="Q57" s="1">
        <v>-397.485107421875</v>
      </c>
      <c r="R57" s="1">
        <v>631.7886962890625</v>
      </c>
    </row>
    <row r="58" spans="1:18" x14ac:dyDescent="0.2">
      <c r="A58" s="1">
        <v>1635.2498779296875</v>
      </c>
      <c r="B58" s="1">
        <v>-33.146610260009766</v>
      </c>
      <c r="C58" s="1">
        <v>1349.608154296875</v>
      </c>
      <c r="F58" s="1">
        <v>622.151611328125</v>
      </c>
      <c r="G58" s="1">
        <v>-116.5390625</v>
      </c>
      <c r="H58" s="1">
        <v>616.66778564453125</v>
      </c>
      <c r="K58" s="1">
        <v>1284.7479248046875</v>
      </c>
      <c r="L58" s="1">
        <v>50.610187530517578</v>
      </c>
      <c r="M58" s="1">
        <v>-51.912330627441406</v>
      </c>
      <c r="P58" s="1">
        <v>806.9461669921875</v>
      </c>
      <c r="Q58" s="1">
        <v>-59.729129791259766</v>
      </c>
      <c r="R58" s="1">
        <v>544.36212158203125</v>
      </c>
    </row>
    <row r="59" spans="1:18" x14ac:dyDescent="0.2">
      <c r="A59" s="1">
        <v>1925.238525390625</v>
      </c>
      <c r="B59" s="1">
        <v>390.0335693359375</v>
      </c>
      <c r="C59" s="1">
        <v>1597.83203125</v>
      </c>
      <c r="F59" s="1">
        <v>251.45915222167969</v>
      </c>
      <c r="G59" s="1">
        <v>-166.57044982910156</v>
      </c>
      <c r="H59" s="1">
        <v>946.4388427734375</v>
      </c>
      <c r="K59" s="1">
        <v>2031.79296875</v>
      </c>
      <c r="L59" s="1">
        <v>183.93115234375</v>
      </c>
      <c r="M59" s="1">
        <v>545.35333251953125</v>
      </c>
      <c r="P59" s="1">
        <v>1167.8348388671875</v>
      </c>
      <c r="Q59" s="1">
        <v>765.39404296875</v>
      </c>
      <c r="R59" s="1">
        <v>724.28717041015625</v>
      </c>
    </row>
    <row r="60" spans="1:18" x14ac:dyDescent="0.2">
      <c r="A60" s="1">
        <v>2123.80908203125</v>
      </c>
      <c r="B60" s="1">
        <v>173.86221313476562</v>
      </c>
      <c r="C60" s="1">
        <v>1771.5482177734375</v>
      </c>
      <c r="F60" s="1">
        <v>437.98544311523438</v>
      </c>
      <c r="G60" s="1">
        <v>296.63253784179688</v>
      </c>
      <c r="H60" s="1">
        <v>1280.9598388671875</v>
      </c>
      <c r="K60" s="1">
        <v>2643.236572265625</v>
      </c>
      <c r="L60" s="1">
        <v>333.81463623046875</v>
      </c>
      <c r="M60" s="1">
        <v>320.50180053710938</v>
      </c>
      <c r="P60" s="1">
        <v>1540.520263671875</v>
      </c>
      <c r="Q60" s="1">
        <v>928.0797119140625</v>
      </c>
      <c r="R60" s="1">
        <v>1316.438720703125</v>
      </c>
    </row>
    <row r="61" spans="1:18" x14ac:dyDescent="0.2">
      <c r="A61" s="1">
        <v>2909.633544921875</v>
      </c>
      <c r="B61" s="1">
        <v>345.55023193359375</v>
      </c>
      <c r="C61" s="1">
        <v>2357.053466796875</v>
      </c>
      <c r="F61" s="1">
        <v>750.48046875</v>
      </c>
      <c r="G61" s="1">
        <v>1204.7574462890625</v>
      </c>
      <c r="H61" s="1">
        <v>1728.04345703125</v>
      </c>
      <c r="K61" s="1">
        <v>3378.804931640625</v>
      </c>
      <c r="L61" s="1">
        <v>386.34652709960938</v>
      </c>
      <c r="M61" s="1">
        <v>665.3299560546875</v>
      </c>
      <c r="P61" s="1">
        <v>2648.697998046875</v>
      </c>
      <c r="Q61" s="1">
        <v>1382.460693359375</v>
      </c>
      <c r="R61" s="1">
        <v>1854.33251953125</v>
      </c>
    </row>
    <row r="62" spans="1:18" x14ac:dyDescent="0.2">
      <c r="A62" s="1">
        <v>4367.1650390625</v>
      </c>
      <c r="B62" s="1">
        <v>1452.44140625</v>
      </c>
      <c r="C62" s="1">
        <v>3508.92578125</v>
      </c>
      <c r="F62" s="1">
        <v>1251.6005859375</v>
      </c>
      <c r="G62" s="1">
        <v>1651.81982421875</v>
      </c>
      <c r="H62" s="1">
        <v>2325.251953125</v>
      </c>
      <c r="K62" s="1">
        <v>4360.36572265625</v>
      </c>
      <c r="L62" s="1">
        <v>818.93316650390625</v>
      </c>
      <c r="M62" s="1">
        <v>1384.5955810546875</v>
      </c>
      <c r="P62" s="1">
        <v>4122.77392578125</v>
      </c>
      <c r="Q62" s="1">
        <v>3308.060546875</v>
      </c>
      <c r="R62" s="1">
        <v>2802.234130859375</v>
      </c>
    </row>
    <row r="63" spans="1:18" x14ac:dyDescent="0.2">
      <c r="A63" s="1">
        <v>7631.00146484375</v>
      </c>
      <c r="B63" s="1">
        <v>3083.50439453125</v>
      </c>
      <c r="C63" s="1">
        <v>5324.00146484375</v>
      </c>
      <c r="F63" s="1">
        <v>2036.2205810546875</v>
      </c>
      <c r="G63" s="1">
        <v>1997.413330078125</v>
      </c>
      <c r="H63" s="1">
        <v>2654.75732421875</v>
      </c>
      <c r="K63" s="1">
        <v>5712.15283203125</v>
      </c>
      <c r="L63" s="1">
        <v>1738.183837890625</v>
      </c>
      <c r="M63" s="1">
        <v>1982.4237060546875</v>
      </c>
      <c r="P63" s="1">
        <v>5873.50634765625</v>
      </c>
      <c r="Q63" s="1">
        <v>4886.16796875</v>
      </c>
      <c r="R63" s="1">
        <v>4670.2216796875</v>
      </c>
    </row>
    <row r="64" spans="1:18" x14ac:dyDescent="0.2">
      <c r="A64" s="1">
        <v>12953.880859375</v>
      </c>
      <c r="B64" s="1">
        <v>7421.3251953125</v>
      </c>
      <c r="C64" s="1">
        <v>9193.5927734375</v>
      </c>
      <c r="F64" s="1">
        <v>2830.965576171875</v>
      </c>
      <c r="G64" s="1">
        <v>2211.866455078125</v>
      </c>
      <c r="H64" s="1">
        <v>2538.3408203125</v>
      </c>
      <c r="K64" s="1">
        <v>7953.5185546875</v>
      </c>
      <c r="L64" s="1">
        <v>3724.6142578125</v>
      </c>
      <c r="M64" s="1">
        <v>3063.791015625</v>
      </c>
      <c r="P64" s="1">
        <v>10698.5283203125</v>
      </c>
      <c r="Q64" s="1">
        <v>8861.697265625</v>
      </c>
      <c r="R64" s="1">
        <v>7975.529296875</v>
      </c>
    </row>
    <row r="65" spans="1:18" x14ac:dyDescent="0.2">
      <c r="A65" s="1">
        <v>22664.849609375</v>
      </c>
      <c r="B65" s="1">
        <v>13970.873046875</v>
      </c>
      <c r="C65" s="1">
        <v>17739.69921875</v>
      </c>
      <c r="F65" s="1">
        <v>4893.10107421875</v>
      </c>
      <c r="G65" s="1">
        <v>2663.4912109375</v>
      </c>
      <c r="H65" s="1">
        <v>3009.471435546875</v>
      </c>
      <c r="K65" s="1">
        <v>11160.1650390625</v>
      </c>
      <c r="L65" s="1">
        <v>6870.81005859375</v>
      </c>
      <c r="M65" s="1">
        <v>5403.205078125</v>
      </c>
      <c r="P65" s="1">
        <v>19957.931640625</v>
      </c>
      <c r="Q65" s="1">
        <v>15857.65625</v>
      </c>
      <c r="R65" s="1">
        <v>15370.4931640625</v>
      </c>
    </row>
    <row r="66" spans="1:18" x14ac:dyDescent="0.2">
      <c r="A66" s="1">
        <v>41214.8984375</v>
      </c>
      <c r="B66" s="1">
        <v>26660.763671875</v>
      </c>
      <c r="C66" s="1">
        <v>32912.5390625</v>
      </c>
      <c r="F66" s="1">
        <v>7619.97119140625</v>
      </c>
      <c r="G66" s="1">
        <v>3225.3505859375</v>
      </c>
      <c r="H66" s="1">
        <v>3985.414306640625</v>
      </c>
      <c r="K66" s="1">
        <v>16898.390625</v>
      </c>
      <c r="L66" s="1">
        <v>11939.896484375</v>
      </c>
      <c r="M66" s="1">
        <v>9395.744140625</v>
      </c>
      <c r="P66" s="1">
        <v>36946.5703125</v>
      </c>
      <c r="Q66" s="1">
        <v>29110.974609375</v>
      </c>
      <c r="R66" s="1">
        <v>29054.93359375</v>
      </c>
    </row>
    <row r="67" spans="1:18" x14ac:dyDescent="0.2">
      <c r="A67" s="1">
        <v>74350.4921875</v>
      </c>
      <c r="B67" s="1">
        <v>49682.90625</v>
      </c>
      <c r="C67" s="1">
        <v>59936.5078125</v>
      </c>
      <c r="F67" s="1">
        <v>11835.857421875</v>
      </c>
      <c r="G67" s="1">
        <v>3903.928466796875</v>
      </c>
      <c r="H67" s="1">
        <v>5157.07568359375</v>
      </c>
      <c r="K67" s="1">
        <v>27761.974609375</v>
      </c>
      <c r="L67" s="1">
        <v>21388.294921875</v>
      </c>
      <c r="M67" s="1">
        <v>16668.509765625</v>
      </c>
      <c r="P67" s="1">
        <v>66016.3203125</v>
      </c>
      <c r="Q67" s="1">
        <v>51642.29296875</v>
      </c>
      <c r="R67" s="1">
        <v>52327.4296875</v>
      </c>
    </row>
    <row r="68" spans="1:18" x14ac:dyDescent="0.2">
      <c r="A68" s="1">
        <v>128032.578125</v>
      </c>
      <c r="B68" s="1">
        <v>88482.8984375</v>
      </c>
      <c r="C68" s="1">
        <v>104501.78125</v>
      </c>
      <c r="F68" s="1">
        <v>19114.8828125</v>
      </c>
      <c r="G68" s="1">
        <v>5273.81884765625</v>
      </c>
      <c r="H68" s="1">
        <v>6549.40966796875</v>
      </c>
      <c r="K68" s="1">
        <v>44782.53515625</v>
      </c>
      <c r="L68" s="1">
        <v>37019.2734375</v>
      </c>
      <c r="M68" s="1">
        <v>28349.392578125</v>
      </c>
      <c r="P68" s="1">
        <v>110262.5078125</v>
      </c>
      <c r="Q68" s="1">
        <v>87114.71875</v>
      </c>
      <c r="R68" s="1">
        <v>89629.5234375</v>
      </c>
    </row>
    <row r="69" spans="1:18" x14ac:dyDescent="0.2">
      <c r="A69" s="1">
        <v>205321.359375</v>
      </c>
      <c r="B69" s="1">
        <v>143328.953125</v>
      </c>
      <c r="C69" s="1">
        <v>169900.484375</v>
      </c>
      <c r="F69" s="1">
        <v>28359.42578125</v>
      </c>
      <c r="G69" s="1">
        <v>6770.75634765625</v>
      </c>
      <c r="H69" s="1">
        <v>7816.1650390625</v>
      </c>
      <c r="K69" s="1">
        <v>68605.671875</v>
      </c>
      <c r="L69" s="1">
        <v>60134.359375</v>
      </c>
      <c r="M69" s="1">
        <v>45457.26171875</v>
      </c>
      <c r="P69" s="1">
        <v>168149.265625</v>
      </c>
      <c r="Q69" s="1">
        <v>135156.21875</v>
      </c>
      <c r="R69" s="1">
        <v>140438.234375</v>
      </c>
    </row>
    <row r="70" spans="1:18" x14ac:dyDescent="0.2">
      <c r="A70" s="1">
        <v>293685.59375</v>
      </c>
      <c r="B70" s="1">
        <v>210261.265625</v>
      </c>
      <c r="C70" s="1">
        <v>247859.84375</v>
      </c>
      <c r="F70" s="1">
        <v>39719.046875</v>
      </c>
      <c r="G70" s="1">
        <v>8489.380859375</v>
      </c>
      <c r="H70" s="1">
        <v>9783.888671875</v>
      </c>
      <c r="K70" s="1">
        <v>98967</v>
      </c>
      <c r="L70" s="1">
        <v>90478.7734375</v>
      </c>
      <c r="M70" s="1">
        <v>66772.75</v>
      </c>
      <c r="P70" s="1">
        <v>230428.765625</v>
      </c>
      <c r="Q70" s="1">
        <v>187543.671875</v>
      </c>
      <c r="R70" s="1">
        <v>195724.53125</v>
      </c>
    </row>
    <row r="71" spans="1:18" x14ac:dyDescent="0.2">
      <c r="A71" s="1">
        <v>379093.34375</v>
      </c>
      <c r="B71" s="1">
        <v>278230.5</v>
      </c>
      <c r="C71" s="1">
        <v>325117.75</v>
      </c>
      <c r="F71" s="1">
        <v>53598.8515625</v>
      </c>
      <c r="G71" s="1">
        <v>10995.052734375</v>
      </c>
      <c r="H71" s="1">
        <v>12852.97265625</v>
      </c>
      <c r="K71" s="1">
        <v>133389.625</v>
      </c>
      <c r="L71" s="1">
        <v>126061.484375</v>
      </c>
      <c r="M71" s="1">
        <v>91945.5078125</v>
      </c>
      <c r="P71" s="1">
        <v>290926.3125</v>
      </c>
      <c r="Q71" s="1">
        <v>239183.75</v>
      </c>
      <c r="R71" s="1">
        <v>252752.875</v>
      </c>
    </row>
    <row r="72" spans="1:18" x14ac:dyDescent="0.2">
      <c r="A72" s="1">
        <v>446338.09375</v>
      </c>
      <c r="B72" s="1">
        <v>332121.59375</v>
      </c>
      <c r="C72" s="1">
        <v>386280.84375</v>
      </c>
      <c r="F72" s="1">
        <v>67806.9140625</v>
      </c>
      <c r="G72" s="1">
        <v>13826.662109375</v>
      </c>
      <c r="H72" s="1">
        <v>16572.103515625</v>
      </c>
      <c r="K72" s="1">
        <v>163999.546875</v>
      </c>
      <c r="L72" s="1">
        <v>158927.828125</v>
      </c>
      <c r="M72" s="1">
        <v>114638.859375</v>
      </c>
      <c r="P72" s="1">
        <v>341670.9375</v>
      </c>
      <c r="Q72" s="1">
        <v>282307.9375</v>
      </c>
      <c r="R72" s="1">
        <v>299958.875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75"/>
  <sheetViews>
    <sheetView tabSelected="1" topLeftCell="J24" workbookViewId="0">
      <selection activeCell="U1" sqref="U1:AC36"/>
    </sheetView>
  </sheetViews>
  <sheetFormatPr baseColWidth="10" defaultColWidth="8.83203125" defaultRowHeight="16" x14ac:dyDescent="0.2"/>
  <cols>
    <col min="16" max="16" width="14.1640625" customWidth="1"/>
    <col min="22" max="22" width="11.1640625" customWidth="1"/>
    <col min="23" max="25" width="10.33203125" bestFit="1" customWidth="1"/>
    <col min="26" max="26" width="9.6640625" bestFit="1" customWidth="1"/>
    <col min="27" max="27" width="10.33203125" bestFit="1" customWidth="1"/>
    <col min="28" max="28" width="9.6640625" bestFit="1" customWidth="1"/>
    <col min="29" max="29" width="10.33203125" bestFit="1" customWidth="1"/>
  </cols>
  <sheetData>
    <row r="1" spans="1:29" x14ac:dyDescent="0.2">
      <c r="A1" s="1">
        <v>-1390.63720703125</v>
      </c>
      <c r="B1" s="1">
        <v>-507.19805908203125</v>
      </c>
      <c r="C1" s="1">
        <v>1435.1541748046875</v>
      </c>
      <c r="F1" s="1">
        <v>2464.526611328125</v>
      </c>
      <c r="G1" s="1">
        <v>-2405.76123046875</v>
      </c>
      <c r="H1" s="1">
        <v>-3673.04736328125</v>
      </c>
      <c r="K1" s="1">
        <v>-6353.47607421875</v>
      </c>
      <c r="L1" s="1">
        <v>91.35015869140625</v>
      </c>
      <c r="M1" s="1">
        <v>-884.33880615234375</v>
      </c>
      <c r="P1" s="1">
        <v>-1371.66748046875</v>
      </c>
      <c r="Q1" s="1">
        <v>-998.834228515625</v>
      </c>
      <c r="R1" s="1">
        <v>-1187.95849609375</v>
      </c>
      <c r="V1" s="2" t="s">
        <v>0</v>
      </c>
      <c r="W1" s="2" t="s">
        <v>1</v>
      </c>
      <c r="X1" s="2" t="s">
        <v>2</v>
      </c>
      <c r="Y1" s="2" t="s">
        <v>3</v>
      </c>
      <c r="Z1" s="2" t="s">
        <v>4</v>
      </c>
      <c r="AA1" s="2" t="s">
        <v>5</v>
      </c>
      <c r="AB1" s="2" t="s">
        <v>6</v>
      </c>
      <c r="AC1" s="2" t="s">
        <v>7</v>
      </c>
    </row>
    <row r="2" spans="1:29" x14ac:dyDescent="0.2">
      <c r="A2" s="1">
        <v>-1295.107421875</v>
      </c>
      <c r="B2" s="1">
        <v>418.6927490234375</v>
      </c>
      <c r="C2" s="1">
        <v>1492.6278076171875</v>
      </c>
      <c r="F2" s="1">
        <v>2618.373046875</v>
      </c>
      <c r="G2" s="1">
        <v>-1907.36767578125</v>
      </c>
      <c r="H2" s="1">
        <v>-2984.069091796875</v>
      </c>
      <c r="K2" s="1">
        <v>-5551.20166015625</v>
      </c>
      <c r="L2" s="1">
        <v>818.9093017578125</v>
      </c>
      <c r="M2" s="1">
        <v>293.42660522460938</v>
      </c>
      <c r="P2" s="1">
        <v>-1300.5047607421875</v>
      </c>
      <c r="Q2" s="1">
        <v>-758.31353759765625</v>
      </c>
      <c r="R2" s="1">
        <v>-621.0633544921875</v>
      </c>
      <c r="U2" s="3">
        <v>1</v>
      </c>
      <c r="V2" s="4">
        <f>AVERAGE(A1:C1)</f>
        <v>-154.22703043619791</v>
      </c>
      <c r="W2" s="4">
        <f>AVERAGE(F1:H1)</f>
        <v>-1204.7606608072917</v>
      </c>
      <c r="X2" s="4">
        <f>AVERAGE(K1:M1)</f>
        <v>-2382.1549072265625</v>
      </c>
      <c r="Y2" s="4">
        <f>AVERAGE(P1:R1)</f>
        <v>-1186.1534016927083</v>
      </c>
      <c r="Z2" s="4">
        <f>AVERAGE(A40:C40)</f>
        <v>1952.6522216796875</v>
      </c>
      <c r="AA2" s="4">
        <f>AVERAGE(F40:H40)</f>
        <v>-4810.4990234375</v>
      </c>
      <c r="AB2" s="4">
        <f>AVERAGE(K40:M40)</f>
        <v>1204.3494262695312</v>
      </c>
      <c r="AC2" s="4">
        <f>AVERAGE(P40:R40)</f>
        <v>-1064.8346354166667</v>
      </c>
    </row>
    <row r="3" spans="1:29" x14ac:dyDescent="0.2">
      <c r="A3" s="1">
        <v>-559.57757568359375</v>
      </c>
      <c r="B3" s="1">
        <v>1046.84912109375</v>
      </c>
      <c r="C3" s="1">
        <v>1229.15625</v>
      </c>
      <c r="F3" s="1">
        <v>2412.4306640625</v>
      </c>
      <c r="G3" s="1">
        <v>-1580.3099365234375</v>
      </c>
      <c r="H3" s="1">
        <v>-1678.8175048828125</v>
      </c>
      <c r="K3" s="1">
        <v>-4121.333984375</v>
      </c>
      <c r="L3" s="1">
        <v>1279.007568359375</v>
      </c>
      <c r="M3" s="1">
        <v>954.7935791015625</v>
      </c>
      <c r="P3" s="1">
        <v>-275.64669799804688</v>
      </c>
      <c r="Q3" s="1">
        <v>-531.9100341796875</v>
      </c>
      <c r="R3" s="1">
        <v>-356.078369140625</v>
      </c>
      <c r="U3" s="3">
        <v>2</v>
      </c>
      <c r="V3" s="4">
        <f>AVERAGE(A2:C2)</f>
        <v>205.40437825520834</v>
      </c>
      <c r="W3" s="4">
        <f>AVERAGE(F2:H2)</f>
        <v>-757.68790690104163</v>
      </c>
      <c r="X3" s="4">
        <f>AVERAGE(K2:M2)</f>
        <v>-1479.6219177246094</v>
      </c>
      <c r="Y3" s="4">
        <f>AVERAGE(P2:R2)</f>
        <v>-893.29388427734375</v>
      </c>
      <c r="Z3" s="4">
        <f>AVERAGE(A41:C41)</f>
        <v>1615.2100626627605</v>
      </c>
      <c r="AA3" s="4">
        <f>AVERAGE(F41:H41)</f>
        <v>-3806.0848185221353</v>
      </c>
      <c r="AB3" s="4">
        <f>AVERAGE(K41:M41)</f>
        <v>1527.7812093098958</v>
      </c>
      <c r="AC3" s="4">
        <f>AVERAGE(P41:R41)</f>
        <v>-678.87327067057288</v>
      </c>
    </row>
    <row r="4" spans="1:29" x14ac:dyDescent="0.2">
      <c r="A4" s="1">
        <v>-131.80560302734375</v>
      </c>
      <c r="B4" s="1">
        <v>958.544677734375</v>
      </c>
      <c r="C4" s="1">
        <v>488.88772583007812</v>
      </c>
      <c r="F4" s="1">
        <v>2304.33203125</v>
      </c>
      <c r="G4" s="1">
        <v>-1671.150634765625</v>
      </c>
      <c r="H4" s="1">
        <v>-659.46429443359375</v>
      </c>
      <c r="K4" s="1">
        <v>-3202.262451171875</v>
      </c>
      <c r="L4" s="1">
        <v>1334.402587890625</v>
      </c>
      <c r="M4" s="1">
        <v>492.84808349609375</v>
      </c>
      <c r="P4" s="1">
        <v>138.01605224609375</v>
      </c>
      <c r="Q4" s="1">
        <v>-280.45968627929688</v>
      </c>
      <c r="R4" s="1">
        <v>-197.43708801269531</v>
      </c>
      <c r="U4" s="3">
        <v>3</v>
      </c>
      <c r="V4" s="4">
        <f t="shared" ref="V4:V36" si="0">AVERAGE(A3:C3)</f>
        <v>572.14259847005212</v>
      </c>
      <c r="W4" s="4">
        <f t="shared" ref="W4:W36" si="1">AVERAGE(F3:H3)</f>
        <v>-282.23225911458331</v>
      </c>
      <c r="X4" s="4">
        <f t="shared" ref="X4:X36" si="2">AVERAGE(K3:M3)</f>
        <v>-629.1776123046875</v>
      </c>
      <c r="Y4" s="4">
        <f t="shared" ref="Y4:Y36" si="3">AVERAGE(P3:R3)</f>
        <v>-387.87836710611981</v>
      </c>
      <c r="Z4" s="4">
        <f t="shared" ref="Z4:Z36" si="4">AVERAGE(A42:C42)</f>
        <v>1079.1468200683594</v>
      </c>
      <c r="AA4" s="4">
        <f t="shared" ref="AA4:AA35" si="5">AVERAGE(F42:H42)</f>
        <v>-2271.1447957356772</v>
      </c>
      <c r="AB4" s="4">
        <f t="shared" ref="AB4:AB36" si="6">AVERAGE(K42:M42)</f>
        <v>1368.0802001953125</v>
      </c>
      <c r="AC4" s="4">
        <f t="shared" ref="AC4:AC34" si="7">AVERAGE(P42:R42)</f>
        <v>-446.072021484375</v>
      </c>
    </row>
    <row r="5" spans="1:29" x14ac:dyDescent="0.2">
      <c r="A5" s="1">
        <v>213.63827514648438</v>
      </c>
      <c r="B5" s="1">
        <v>586.4666748046875</v>
      </c>
      <c r="C5" s="1">
        <v>227.43173217773438</v>
      </c>
      <c r="F5" s="1">
        <v>2022.600341796875</v>
      </c>
      <c r="G5" s="1">
        <v>-1981.061767578125</v>
      </c>
      <c r="H5" s="1">
        <v>182.11546325683594</v>
      </c>
      <c r="K5" s="1">
        <v>-1598.8865966796875</v>
      </c>
      <c r="L5" s="1">
        <v>1090.0789794921875</v>
      </c>
      <c r="M5" s="1">
        <v>-26.347429275512695</v>
      </c>
      <c r="P5" s="1">
        <v>-83.774307250976562</v>
      </c>
      <c r="Q5" s="1">
        <v>334.90472412109375</v>
      </c>
      <c r="R5" s="1">
        <v>-305.38565063476562</v>
      </c>
      <c r="U5" s="3">
        <v>4</v>
      </c>
      <c r="V5" s="4">
        <f t="shared" si="0"/>
        <v>438.54226684570312</v>
      </c>
      <c r="W5" s="4">
        <f t="shared" si="1"/>
        <v>-8.7609659830729161</v>
      </c>
      <c r="X5" s="4">
        <f t="shared" si="2"/>
        <v>-458.33725992838544</v>
      </c>
      <c r="Y5" s="4">
        <f t="shared" si="3"/>
        <v>-113.29357401529948</v>
      </c>
      <c r="Z5" s="4">
        <f t="shared" si="4"/>
        <v>631.81919352213538</v>
      </c>
      <c r="AA5" s="4">
        <f t="shared" si="5"/>
        <v>-1468.5171305338542</v>
      </c>
      <c r="AB5" s="4">
        <f t="shared" si="6"/>
        <v>1022.7958374023438</v>
      </c>
      <c r="AC5" s="4">
        <f t="shared" si="7"/>
        <v>-265.1197509765625</v>
      </c>
    </row>
    <row r="6" spans="1:29" x14ac:dyDescent="0.2">
      <c r="A6" s="1">
        <v>-9.3631505966186523</v>
      </c>
      <c r="B6" s="1">
        <v>-139.19720458984375</v>
      </c>
      <c r="C6" s="1">
        <v>183.54605102539062</v>
      </c>
      <c r="F6" s="1">
        <v>1797.853271484375</v>
      </c>
      <c r="G6" s="1">
        <v>-1983.7930908203125</v>
      </c>
      <c r="H6" s="1">
        <v>713.04681396484375</v>
      </c>
      <c r="K6" s="1">
        <v>-239.01071166992188</v>
      </c>
      <c r="L6" s="1">
        <v>856.77099609375</v>
      </c>
      <c r="M6" s="1">
        <v>-5.7382526397705078</v>
      </c>
      <c r="P6" s="1">
        <v>173.43533325195312</v>
      </c>
      <c r="Q6" s="1">
        <v>179.3941650390625</v>
      </c>
      <c r="R6" s="1">
        <v>-198.10377502441406</v>
      </c>
      <c r="U6" s="3">
        <v>5</v>
      </c>
      <c r="V6" s="4">
        <f t="shared" si="0"/>
        <v>342.51222737630206</v>
      </c>
      <c r="W6" s="4">
        <f t="shared" si="1"/>
        <v>74.551345825195312</v>
      </c>
      <c r="X6" s="4">
        <f t="shared" si="2"/>
        <v>-178.3850154876709</v>
      </c>
      <c r="Y6" s="4">
        <f t="shared" si="3"/>
        <v>-18.08507792154948</v>
      </c>
      <c r="Z6" s="4">
        <f t="shared" si="4"/>
        <v>546.457763671875</v>
      </c>
      <c r="AA6" s="4">
        <f t="shared" si="5"/>
        <v>-617.94942220052087</v>
      </c>
      <c r="AB6" s="4">
        <f t="shared" si="6"/>
        <v>872.441162109375</v>
      </c>
      <c r="AC6" s="4">
        <f t="shared" si="7"/>
        <v>149.18410237630209</v>
      </c>
    </row>
    <row r="7" spans="1:29" x14ac:dyDescent="0.2">
      <c r="A7" s="1">
        <v>370.35415649414062</v>
      </c>
      <c r="B7" s="1">
        <v>-257.923583984375</v>
      </c>
      <c r="C7" s="1">
        <v>115.90256500244141</v>
      </c>
      <c r="F7" s="1">
        <v>1646.8873291015625</v>
      </c>
      <c r="G7" s="1">
        <v>-1341.7197265625</v>
      </c>
      <c r="H7" s="1">
        <v>1167.9078369140625</v>
      </c>
      <c r="K7" s="1">
        <v>114.46677398681641</v>
      </c>
      <c r="L7" s="1">
        <v>275.97857666015625</v>
      </c>
      <c r="M7" s="1">
        <v>675.30059814453125</v>
      </c>
      <c r="P7" s="1">
        <v>-46.581596374511719</v>
      </c>
      <c r="Q7" s="1">
        <v>-43.319538116455078</v>
      </c>
      <c r="R7" s="1">
        <v>22.017965316772461</v>
      </c>
      <c r="U7" s="3">
        <v>6</v>
      </c>
      <c r="V7" s="4">
        <f t="shared" si="0"/>
        <v>11.661898612976074</v>
      </c>
      <c r="W7" s="4">
        <f t="shared" si="1"/>
        <v>175.70233154296875</v>
      </c>
      <c r="X7" s="4">
        <f t="shared" si="2"/>
        <v>204.0073439280192</v>
      </c>
      <c r="Y7" s="4">
        <f t="shared" si="3"/>
        <v>51.575241088867188</v>
      </c>
      <c r="Z7" s="4">
        <f t="shared" si="4"/>
        <v>456.45050048828125</v>
      </c>
      <c r="AA7" s="4">
        <f t="shared" si="5"/>
        <v>-99.386922200520829</v>
      </c>
      <c r="AB7" s="4">
        <f t="shared" si="6"/>
        <v>647.30523681640625</v>
      </c>
      <c r="AC7" s="4">
        <f t="shared" si="7"/>
        <v>355.57387288411456</v>
      </c>
    </row>
    <row r="8" spans="1:29" x14ac:dyDescent="0.2">
      <c r="A8" s="1">
        <v>772.29022216796875</v>
      </c>
      <c r="B8" s="1">
        <v>90.912513732910156</v>
      </c>
      <c r="C8" s="1">
        <v>-576.72528076171875</v>
      </c>
      <c r="F8" s="1">
        <v>1056.85888671875</v>
      </c>
      <c r="G8" s="1">
        <v>-1164.3260498046875</v>
      </c>
      <c r="H8" s="1">
        <v>715.401611328125</v>
      </c>
      <c r="K8" s="1">
        <v>1220.0223388671875</v>
      </c>
      <c r="L8" s="1">
        <v>149.52210998535156</v>
      </c>
      <c r="M8" s="1">
        <v>722.9019775390625</v>
      </c>
      <c r="P8" s="1">
        <v>206.61241149902344</v>
      </c>
      <c r="Q8" s="1">
        <v>-21.751991271972656</v>
      </c>
      <c r="R8" s="1">
        <v>253.90924072265625</v>
      </c>
      <c r="U8" s="3">
        <v>7</v>
      </c>
      <c r="V8" s="4">
        <f t="shared" si="0"/>
        <v>76.111045837402344</v>
      </c>
      <c r="W8" s="4">
        <f t="shared" si="1"/>
        <v>491.025146484375</v>
      </c>
      <c r="X8" s="4">
        <f t="shared" si="2"/>
        <v>355.24864959716797</v>
      </c>
      <c r="Y8" s="4">
        <f t="shared" si="3"/>
        <v>-22.627723058064777</v>
      </c>
      <c r="Z8" s="4">
        <f t="shared" si="4"/>
        <v>320.43800862630206</v>
      </c>
      <c r="AA8" s="4">
        <f t="shared" si="5"/>
        <v>359.49068196614581</v>
      </c>
      <c r="AB8" s="4">
        <f t="shared" si="6"/>
        <v>331.48182169596356</v>
      </c>
      <c r="AC8" s="4">
        <f t="shared" si="7"/>
        <v>433.6173095703125</v>
      </c>
    </row>
    <row r="9" spans="1:29" x14ac:dyDescent="0.2">
      <c r="A9" s="1">
        <v>323.84738159179688</v>
      </c>
      <c r="B9" s="1">
        <v>159.65487670898438</v>
      </c>
      <c r="C9" s="1">
        <v>-657.9390869140625</v>
      </c>
      <c r="F9" s="1">
        <v>177.79142761230469</v>
      </c>
      <c r="G9" s="1">
        <v>-1420.174560546875</v>
      </c>
      <c r="H9" s="1">
        <v>172.66105651855469</v>
      </c>
      <c r="K9" s="1">
        <v>1437.6639404296875</v>
      </c>
      <c r="L9" s="1">
        <v>125.12814331054688</v>
      </c>
      <c r="M9" s="1">
        <v>596.98773193359375</v>
      </c>
      <c r="P9" s="1">
        <v>189.54080200195312</v>
      </c>
      <c r="Q9" s="1">
        <v>17.862430572509766</v>
      </c>
      <c r="R9" s="1">
        <v>-473.02371215820312</v>
      </c>
      <c r="U9" s="3">
        <v>8</v>
      </c>
      <c r="V9" s="4">
        <f t="shared" si="0"/>
        <v>95.492485046386719</v>
      </c>
      <c r="W9" s="4">
        <f t="shared" si="1"/>
        <v>202.64481608072916</v>
      </c>
      <c r="X9" s="4">
        <f t="shared" si="2"/>
        <v>697.48214213053382</v>
      </c>
      <c r="Y9" s="4">
        <f t="shared" si="3"/>
        <v>146.25655364990234</v>
      </c>
      <c r="Z9" s="4">
        <f t="shared" si="4"/>
        <v>190.20418294270834</v>
      </c>
      <c r="AA9" s="4">
        <f t="shared" si="5"/>
        <v>686.3214111328125</v>
      </c>
      <c r="AB9" s="4">
        <f t="shared" si="6"/>
        <v>138.37455177307129</v>
      </c>
      <c r="AC9" s="4">
        <f t="shared" si="7"/>
        <v>827.69198608398438</v>
      </c>
    </row>
    <row r="10" spans="1:29" x14ac:dyDescent="0.2">
      <c r="A10" s="1">
        <v>-281.73605346679688</v>
      </c>
      <c r="B10" s="1">
        <v>102.61598205566406</v>
      </c>
      <c r="C10" s="1">
        <v>-152.62947082519531</v>
      </c>
      <c r="F10" s="1">
        <v>-1248.2760009765625</v>
      </c>
      <c r="G10" s="1">
        <v>-1436.6324462890625</v>
      </c>
      <c r="H10" s="1">
        <v>-168.36856079101562</v>
      </c>
      <c r="K10" s="1">
        <v>1522.055419921875</v>
      </c>
      <c r="L10" s="1">
        <v>-293.66424560546875</v>
      </c>
      <c r="M10" s="1">
        <v>338.70626831054688</v>
      </c>
      <c r="P10" s="1">
        <v>61.937934875488281</v>
      </c>
      <c r="Q10" s="1">
        <v>286.95343017578125</v>
      </c>
      <c r="R10" s="1">
        <v>-634.3746337890625</v>
      </c>
      <c r="U10" s="3">
        <v>9</v>
      </c>
      <c r="V10" s="4">
        <f t="shared" si="0"/>
        <v>-58.145609537760414</v>
      </c>
      <c r="W10" s="4">
        <f t="shared" si="1"/>
        <v>-356.57402547200519</v>
      </c>
      <c r="X10" s="4">
        <f t="shared" si="2"/>
        <v>719.92660522460938</v>
      </c>
      <c r="Y10" s="4">
        <f t="shared" si="3"/>
        <v>-88.54015986124675</v>
      </c>
      <c r="Z10" s="4">
        <f t="shared" si="4"/>
        <v>-76.064809163411454</v>
      </c>
      <c r="AA10" s="4">
        <f t="shared" si="5"/>
        <v>1030.2250569661458</v>
      </c>
      <c r="AB10" s="4">
        <f t="shared" si="6"/>
        <v>39.980824788411461</v>
      </c>
      <c r="AC10" s="4">
        <f t="shared" si="7"/>
        <v>925.75103251139319</v>
      </c>
    </row>
    <row r="11" spans="1:29" x14ac:dyDescent="0.2">
      <c r="A11" s="1">
        <v>-697.64764404296875</v>
      </c>
      <c r="B11" s="1">
        <v>-431.92291259765625</v>
      </c>
      <c r="C11" s="1">
        <v>70.492668151855469</v>
      </c>
      <c r="F11" s="1">
        <v>-1421.538818359375</v>
      </c>
      <c r="G11" s="1">
        <v>-1815.83251953125</v>
      </c>
      <c r="H11" s="1">
        <v>798.593994140625</v>
      </c>
      <c r="K11" s="1">
        <v>1380.111083984375</v>
      </c>
      <c r="L11" s="1">
        <v>-308.0269775390625</v>
      </c>
      <c r="M11" s="1">
        <v>-142.50486755371094</v>
      </c>
      <c r="P11" s="1">
        <v>-363.5399169921875</v>
      </c>
      <c r="Q11" s="1">
        <v>327.30221557617188</v>
      </c>
      <c r="R11" s="1">
        <v>237.51272583007812</v>
      </c>
      <c r="U11" s="3">
        <v>10</v>
      </c>
      <c r="V11" s="4">
        <f t="shared" si="0"/>
        <v>-110.5831807454427</v>
      </c>
      <c r="W11" s="4">
        <f t="shared" si="1"/>
        <v>-951.09233601888025</v>
      </c>
      <c r="X11" s="4">
        <f t="shared" si="2"/>
        <v>522.36581420898438</v>
      </c>
      <c r="Y11" s="4">
        <f t="shared" si="3"/>
        <v>-95.161089579264328</v>
      </c>
      <c r="Z11" s="4">
        <f t="shared" si="4"/>
        <v>-240.19317626953125</v>
      </c>
      <c r="AA11" s="4">
        <f t="shared" si="5"/>
        <v>960.01932779947913</v>
      </c>
      <c r="AB11" s="4">
        <f t="shared" si="6"/>
        <v>-247.82696533203125</v>
      </c>
      <c r="AC11" s="4">
        <f t="shared" si="7"/>
        <v>702.61869303385413</v>
      </c>
    </row>
    <row r="12" spans="1:29" x14ac:dyDescent="0.2">
      <c r="A12" s="1">
        <v>-790.71942138671875</v>
      </c>
      <c r="B12" s="1">
        <v>-485.1961669921875</v>
      </c>
      <c r="C12" s="1">
        <v>0.86480623483657837</v>
      </c>
      <c r="F12" s="1">
        <v>-1268.7703857421875</v>
      </c>
      <c r="G12" s="1">
        <v>-2356.16552734375</v>
      </c>
      <c r="H12" s="1">
        <v>608.05657958984375</v>
      </c>
      <c r="K12" s="1">
        <v>543.16668701171875</v>
      </c>
      <c r="L12" s="1">
        <v>-79.834991455078125</v>
      </c>
      <c r="M12" s="1">
        <v>-278.16131591796875</v>
      </c>
      <c r="P12" s="1">
        <v>-396.44747924804688</v>
      </c>
      <c r="Q12" s="1">
        <v>363.9713134765625</v>
      </c>
      <c r="R12" s="1">
        <v>365.96649169921875</v>
      </c>
      <c r="U12" s="3">
        <v>11</v>
      </c>
      <c r="V12" s="4">
        <f t="shared" si="0"/>
        <v>-353.02596282958984</v>
      </c>
      <c r="W12" s="4">
        <f t="shared" si="1"/>
        <v>-812.92578125</v>
      </c>
      <c r="X12" s="4">
        <f t="shared" si="2"/>
        <v>309.8597462972005</v>
      </c>
      <c r="Y12" s="4">
        <f t="shared" si="3"/>
        <v>67.0916748046875</v>
      </c>
      <c r="Z12" s="4">
        <f t="shared" si="4"/>
        <v>-264.26554874579114</v>
      </c>
      <c r="AA12" s="4">
        <f t="shared" si="5"/>
        <v>457.30322265625</v>
      </c>
      <c r="AB12" s="4">
        <f t="shared" si="6"/>
        <v>-354.93684895833331</v>
      </c>
      <c r="AC12" s="4">
        <f t="shared" si="7"/>
        <v>715.44856770833337</v>
      </c>
    </row>
    <row r="13" spans="1:29" x14ac:dyDescent="0.2">
      <c r="A13" s="1">
        <v>-910.3419189453125</v>
      </c>
      <c r="B13" s="1">
        <v>24.874307632446289</v>
      </c>
      <c r="C13" s="1">
        <v>-190.8489990234375</v>
      </c>
      <c r="F13" s="1">
        <v>-1881.369140625</v>
      </c>
      <c r="G13" s="1">
        <v>-2780.021728515625</v>
      </c>
      <c r="H13" s="1">
        <v>122.48007965087891</v>
      </c>
      <c r="K13" s="1">
        <v>357.70663452148438</v>
      </c>
      <c r="L13" s="1">
        <v>-358.90081787109375</v>
      </c>
      <c r="M13" s="1">
        <v>-262.5443115234375</v>
      </c>
      <c r="P13" s="1">
        <v>-487.19097900390625</v>
      </c>
      <c r="Q13" s="1">
        <v>399.83575439453125</v>
      </c>
      <c r="R13" s="1">
        <v>246.35386657714844</v>
      </c>
      <c r="U13" s="3">
        <v>12</v>
      </c>
      <c r="V13" s="4">
        <f t="shared" si="0"/>
        <v>-425.01692738135654</v>
      </c>
      <c r="W13" s="4">
        <f t="shared" si="1"/>
        <v>-1005.6264444986979</v>
      </c>
      <c r="X13" s="4">
        <f t="shared" si="2"/>
        <v>61.723459879557289</v>
      </c>
      <c r="Y13" s="4">
        <f t="shared" si="3"/>
        <v>111.16344197591145</v>
      </c>
      <c r="Z13" s="4">
        <f t="shared" si="4"/>
        <v>-266.59053548177081</v>
      </c>
      <c r="AA13" s="4">
        <f t="shared" si="5"/>
        <v>239.82403564453125</v>
      </c>
      <c r="AB13" s="4">
        <f t="shared" si="6"/>
        <v>-376.80712890625</v>
      </c>
      <c r="AC13" s="4">
        <f t="shared" si="7"/>
        <v>949.51021321614587</v>
      </c>
    </row>
    <row r="14" spans="1:29" x14ac:dyDescent="0.2">
      <c r="A14" s="1">
        <v>-1446.4488525390625</v>
      </c>
      <c r="B14" s="1">
        <v>441.55416870117188</v>
      </c>
      <c r="C14" s="1">
        <v>-273.02374267578125</v>
      </c>
      <c r="F14" s="1">
        <v>-1894.1632080078125</v>
      </c>
      <c r="G14" s="1">
        <v>-1678.401611328125</v>
      </c>
      <c r="H14" s="1">
        <v>-647.362060546875</v>
      </c>
      <c r="K14" s="1">
        <v>1141.46533203125</v>
      </c>
      <c r="L14" s="1">
        <v>-589.3572998046875</v>
      </c>
      <c r="M14" s="1">
        <v>-240.32577514648438</v>
      </c>
      <c r="P14" s="1">
        <v>-440.1219482421875</v>
      </c>
      <c r="Q14" s="1">
        <v>-158.83108520507812</v>
      </c>
      <c r="R14" s="1">
        <v>652.3857421875</v>
      </c>
      <c r="U14" s="3">
        <v>13</v>
      </c>
      <c r="V14" s="4">
        <f t="shared" si="0"/>
        <v>-358.77220344543457</v>
      </c>
      <c r="W14" s="4">
        <f t="shared" si="1"/>
        <v>-1512.9702631632488</v>
      </c>
      <c r="X14" s="4">
        <f t="shared" si="2"/>
        <v>-87.912831624348954</v>
      </c>
      <c r="Y14" s="4">
        <f t="shared" si="3"/>
        <v>52.999547322591148</v>
      </c>
      <c r="Z14" s="4">
        <f t="shared" si="4"/>
        <v>-333.0639483133952</v>
      </c>
      <c r="AA14" s="4">
        <f t="shared" si="5"/>
        <v>276.78759765625</v>
      </c>
      <c r="AB14" s="4">
        <f t="shared" si="6"/>
        <v>-636.604502360026</v>
      </c>
      <c r="AC14" s="4">
        <f t="shared" si="7"/>
        <v>607.84269714355469</v>
      </c>
    </row>
    <row r="15" spans="1:29" x14ac:dyDescent="0.2">
      <c r="A15" s="1">
        <v>-2009.8526611328125</v>
      </c>
      <c r="B15" s="1">
        <v>15.968398094177246</v>
      </c>
      <c r="C15" s="1">
        <v>-322.331298828125</v>
      </c>
      <c r="F15" s="1">
        <v>-1627.2384033203125</v>
      </c>
      <c r="G15" s="1">
        <v>3296.1484375</v>
      </c>
      <c r="H15" s="1">
        <v>-1326.2509765625</v>
      </c>
      <c r="K15" s="1">
        <v>1009.77099609375</v>
      </c>
      <c r="L15" s="1">
        <v>-1277.001220703125</v>
      </c>
      <c r="M15" s="1">
        <v>-137.66972351074219</v>
      </c>
      <c r="P15" s="1">
        <v>-366.69357299804688</v>
      </c>
      <c r="Q15" s="1">
        <v>-454.65414428710938</v>
      </c>
      <c r="R15" s="1">
        <v>558.13641357421875</v>
      </c>
      <c r="U15" s="3">
        <v>14</v>
      </c>
      <c r="V15" s="4">
        <f t="shared" si="0"/>
        <v>-425.97280883789062</v>
      </c>
      <c r="W15" s="4">
        <f t="shared" si="1"/>
        <v>-1406.6422932942708</v>
      </c>
      <c r="X15" s="4">
        <f t="shared" si="2"/>
        <v>103.9274190266927</v>
      </c>
      <c r="Y15" s="4">
        <f t="shared" si="3"/>
        <v>17.810902913411457</v>
      </c>
      <c r="Z15" s="4">
        <f t="shared" si="4"/>
        <v>-561.01133219401038</v>
      </c>
      <c r="AA15" s="4">
        <f t="shared" si="5"/>
        <v>463.6807861328125</v>
      </c>
      <c r="AB15" s="4">
        <f t="shared" si="6"/>
        <v>-774.43312581380212</v>
      </c>
      <c r="AC15" s="4">
        <f t="shared" si="7"/>
        <v>353.49940745035809</v>
      </c>
    </row>
    <row r="16" spans="1:29" x14ac:dyDescent="0.2">
      <c r="A16" s="1">
        <v>-2386.95947265625</v>
      </c>
      <c r="B16" s="1">
        <v>-467.60174560546875</v>
      </c>
      <c r="C16" s="1">
        <v>-461.96694946289062</v>
      </c>
      <c r="F16" s="1">
        <v>-1388.141845703125</v>
      </c>
      <c r="G16" s="1">
        <v>3900.1669921875</v>
      </c>
      <c r="H16" s="1">
        <v>-1667.7103271484375</v>
      </c>
      <c r="K16" s="1">
        <v>750.86566162109375</v>
      </c>
      <c r="L16" s="1">
        <v>-1275.942138671875</v>
      </c>
      <c r="M16" s="1">
        <v>-330.912109375</v>
      </c>
      <c r="P16" s="1">
        <v>-699.37457275390625</v>
      </c>
      <c r="Q16" s="1">
        <v>-419.29754638671875</v>
      </c>
      <c r="R16" s="1">
        <v>192.05110168457031</v>
      </c>
      <c r="U16" s="3">
        <v>15</v>
      </c>
      <c r="V16" s="4">
        <f t="shared" si="0"/>
        <v>-772.07185395558679</v>
      </c>
      <c r="W16" s="4">
        <f t="shared" si="1"/>
        <v>114.21968587239583</v>
      </c>
      <c r="X16" s="4">
        <f t="shared" si="2"/>
        <v>-134.96664937337241</v>
      </c>
      <c r="Y16" s="4">
        <f t="shared" si="3"/>
        <v>-87.737101236979171</v>
      </c>
      <c r="Z16" s="4">
        <f t="shared" si="4"/>
        <v>-664.73996988932288</v>
      </c>
      <c r="AA16" s="4">
        <f t="shared" si="5"/>
        <v>258.75896708170575</v>
      </c>
      <c r="AB16" s="4">
        <f t="shared" si="6"/>
        <v>-670.35811360677087</v>
      </c>
      <c r="AC16" s="4">
        <f t="shared" si="7"/>
        <v>639.05195109049475</v>
      </c>
    </row>
    <row r="17" spans="1:29" x14ac:dyDescent="0.2">
      <c r="A17" s="1">
        <v>-1975.421875</v>
      </c>
      <c r="B17" s="1">
        <v>-556.46875</v>
      </c>
      <c r="C17" s="1">
        <v>-501.89950561523438</v>
      </c>
      <c r="F17" s="1">
        <v>-1176.7484130859375</v>
      </c>
      <c r="G17" s="1">
        <v>3738.576171875</v>
      </c>
      <c r="H17" s="1">
        <v>-1589.083740234375</v>
      </c>
      <c r="K17" s="1">
        <v>826.6947021484375</v>
      </c>
      <c r="L17" s="1">
        <v>-855.7813720703125</v>
      </c>
      <c r="M17" s="1">
        <v>-491.38104248046875</v>
      </c>
      <c r="P17" s="1">
        <v>-643.3211669921875</v>
      </c>
      <c r="Q17" s="1">
        <v>-490.95657348632812</v>
      </c>
      <c r="R17" s="1">
        <v>-89.350593566894531</v>
      </c>
      <c r="U17" s="3">
        <v>16</v>
      </c>
      <c r="V17" s="4">
        <f t="shared" si="0"/>
        <v>-1105.5093892415364</v>
      </c>
      <c r="W17" s="4">
        <f t="shared" si="1"/>
        <v>281.43827311197919</v>
      </c>
      <c r="X17" s="4">
        <f t="shared" si="2"/>
        <v>-285.32952880859375</v>
      </c>
      <c r="Y17" s="4">
        <f t="shared" si="3"/>
        <v>-308.87367248535156</v>
      </c>
      <c r="Z17" s="4">
        <f t="shared" si="4"/>
        <v>-632.13527425130212</v>
      </c>
      <c r="AA17" s="4">
        <f t="shared" si="5"/>
        <v>82.118306477864579</v>
      </c>
      <c r="AB17" s="4">
        <f t="shared" si="6"/>
        <v>-498.42632293701172</v>
      </c>
      <c r="AC17" s="4">
        <f t="shared" si="7"/>
        <v>466.66048113505047</v>
      </c>
    </row>
    <row r="18" spans="1:29" x14ac:dyDescent="0.2">
      <c r="A18" s="1">
        <v>-2258.57177734375</v>
      </c>
      <c r="B18" s="1">
        <v>-575.23419189453125</v>
      </c>
      <c r="C18" s="1">
        <v>-381.83987426757812</v>
      </c>
      <c r="F18" s="1">
        <v>-1428.90185546875</v>
      </c>
      <c r="G18" s="1">
        <v>5608.3134765625</v>
      </c>
      <c r="H18" s="1">
        <v>-1925.41015625</v>
      </c>
      <c r="K18" s="1">
        <v>702.56280517578125</v>
      </c>
      <c r="L18" s="1">
        <v>-861.01129150390625</v>
      </c>
      <c r="M18" s="1">
        <v>-754.1702880859375</v>
      </c>
      <c r="P18" s="1">
        <v>-756.025634765625</v>
      </c>
      <c r="Q18" s="1">
        <v>-511.11557006835938</v>
      </c>
      <c r="R18" s="1">
        <v>-82.904640197753906</v>
      </c>
      <c r="U18" s="3">
        <v>17</v>
      </c>
      <c r="V18" s="4">
        <f t="shared" si="0"/>
        <v>-1011.2633768717448</v>
      </c>
      <c r="W18" s="4">
        <f t="shared" si="1"/>
        <v>324.24800618489581</v>
      </c>
      <c r="X18" s="4">
        <f t="shared" si="2"/>
        <v>-173.48923746744791</v>
      </c>
      <c r="Y18" s="4">
        <f t="shared" si="3"/>
        <v>-407.87611134847003</v>
      </c>
      <c r="Z18" s="4">
        <f t="shared" si="4"/>
        <v>-483.57873217264813</v>
      </c>
      <c r="AA18" s="4">
        <f t="shared" si="5"/>
        <v>56.615712483723961</v>
      </c>
      <c r="AB18" s="4">
        <f t="shared" si="6"/>
        <v>-616.08307902018225</v>
      </c>
      <c r="AC18" s="4">
        <f t="shared" si="7"/>
        <v>211.91354370117188</v>
      </c>
    </row>
    <row r="19" spans="1:29" x14ac:dyDescent="0.2">
      <c r="A19" s="1">
        <v>-2797.7451171875</v>
      </c>
      <c r="B19" s="1">
        <v>-613.17938232421875</v>
      </c>
      <c r="C19" s="1">
        <v>-95.381805419921875</v>
      </c>
      <c r="F19" s="1">
        <v>-1244.18798828125</v>
      </c>
      <c r="G19" s="1">
        <v>6880.65283203125</v>
      </c>
      <c r="H19" s="1">
        <v>-2545.924072265625</v>
      </c>
      <c r="K19" s="1">
        <v>426.49337768554688</v>
      </c>
      <c r="L19" s="1">
        <v>-764.97552490234375</v>
      </c>
      <c r="M19" s="1">
        <v>-780.0611572265625</v>
      </c>
      <c r="P19" s="1">
        <v>-991.48785400390625</v>
      </c>
      <c r="Q19" s="1">
        <v>98.116035461425781</v>
      </c>
      <c r="R19" s="1">
        <v>17.642877578735352</v>
      </c>
      <c r="U19" s="3">
        <v>18</v>
      </c>
      <c r="V19" s="4">
        <f t="shared" si="0"/>
        <v>-1071.8819478352864</v>
      </c>
      <c r="W19" s="4">
        <f t="shared" si="1"/>
        <v>751.33382161458337</v>
      </c>
      <c r="X19" s="4">
        <f t="shared" si="2"/>
        <v>-304.20625813802081</v>
      </c>
      <c r="Y19" s="4">
        <f t="shared" si="3"/>
        <v>-450.01528167724609</v>
      </c>
      <c r="Z19" s="4">
        <f t="shared" si="4"/>
        <v>-333.2214241027832</v>
      </c>
      <c r="AA19" s="4">
        <f t="shared" si="5"/>
        <v>-76.16552734375</v>
      </c>
      <c r="AB19" s="4">
        <f t="shared" si="6"/>
        <v>-897.17732747395837</v>
      </c>
      <c r="AC19" s="4">
        <f t="shared" si="7"/>
        <v>101.2030652364095</v>
      </c>
    </row>
    <row r="20" spans="1:29" x14ac:dyDescent="0.2">
      <c r="A20" s="1">
        <v>-3444.43408203125</v>
      </c>
      <c r="B20" s="1">
        <v>-548.40576171875</v>
      </c>
      <c r="C20" s="1">
        <v>-299.97842407226562</v>
      </c>
      <c r="F20" s="1">
        <v>-738.8414306640625</v>
      </c>
      <c r="G20" s="1">
        <v>4610.10888671875</v>
      </c>
      <c r="H20" s="1">
        <v>-2683.367919921875</v>
      </c>
      <c r="K20" s="1">
        <v>376.61148071289062</v>
      </c>
      <c r="L20" s="1">
        <v>-519.6898193359375</v>
      </c>
      <c r="M20" s="1">
        <v>-564.35040283203125</v>
      </c>
      <c r="P20" s="1">
        <v>-1125.3016357421875</v>
      </c>
      <c r="Q20" s="1">
        <v>172.69139099121094</v>
      </c>
      <c r="R20" s="1">
        <v>736.37786865234375</v>
      </c>
      <c r="U20" s="3">
        <v>19</v>
      </c>
      <c r="V20" s="4">
        <f t="shared" si="0"/>
        <v>-1168.7687683105469</v>
      </c>
      <c r="W20" s="4">
        <f t="shared" si="1"/>
        <v>1030.1802571614583</v>
      </c>
      <c r="X20" s="4">
        <f t="shared" si="2"/>
        <v>-372.84776814778644</v>
      </c>
      <c r="Y20" s="4">
        <f t="shared" si="3"/>
        <v>-291.90964698791504</v>
      </c>
      <c r="Z20" s="4">
        <f t="shared" si="4"/>
        <v>-152.60239156087241</v>
      </c>
      <c r="AA20" s="4">
        <f t="shared" si="5"/>
        <v>95.31884765625</v>
      </c>
      <c r="AB20" s="4">
        <f t="shared" si="6"/>
        <v>-1032.438232421875</v>
      </c>
      <c r="AC20" s="4">
        <f t="shared" si="7"/>
        <v>402.88711547851562</v>
      </c>
    </row>
    <row r="21" spans="1:29" x14ac:dyDescent="0.2">
      <c r="A21" s="1">
        <v>-4015.970458984375</v>
      </c>
      <c r="B21" s="1">
        <v>-379.21026611328125</v>
      </c>
      <c r="C21" s="1">
        <v>-345.80160522460938</v>
      </c>
      <c r="F21" s="1">
        <v>-721.791748046875</v>
      </c>
      <c r="G21" s="1">
        <v>2676.28369140625</v>
      </c>
      <c r="H21" s="1">
        <v>-3114.7099609375</v>
      </c>
      <c r="K21" s="1">
        <v>808.01080322265625</v>
      </c>
      <c r="L21" s="1">
        <v>-360.70877075195312</v>
      </c>
      <c r="M21" s="1">
        <v>-93.327156066894531</v>
      </c>
      <c r="P21" s="1">
        <v>-1514.123291015625</v>
      </c>
      <c r="Q21" s="1">
        <v>598.54803466796875</v>
      </c>
      <c r="R21" s="1">
        <v>938.6285400390625</v>
      </c>
      <c r="U21" s="3">
        <v>20</v>
      </c>
      <c r="V21" s="4">
        <f t="shared" si="0"/>
        <v>-1430.9394226074219</v>
      </c>
      <c r="W21" s="4">
        <f t="shared" si="1"/>
        <v>395.96651204427081</v>
      </c>
      <c r="X21" s="4">
        <f t="shared" si="2"/>
        <v>-235.80958048502603</v>
      </c>
      <c r="Y21" s="4">
        <f t="shared" si="3"/>
        <v>-72.077458699544266</v>
      </c>
      <c r="Z21" s="4">
        <f t="shared" si="4"/>
        <v>-108.41825675964355</v>
      </c>
      <c r="AA21" s="4">
        <f t="shared" si="5"/>
        <v>408.12095133463544</v>
      </c>
      <c r="AB21" s="4">
        <f t="shared" si="6"/>
        <v>-796.74863688151038</v>
      </c>
      <c r="AC21" s="4">
        <f t="shared" si="7"/>
        <v>303.25472005208331</v>
      </c>
    </row>
    <row r="22" spans="1:29" x14ac:dyDescent="0.2">
      <c r="A22" s="1">
        <v>-4159.21435546875</v>
      </c>
      <c r="B22" s="1">
        <v>-464.0694580078125</v>
      </c>
      <c r="C22" s="1">
        <v>-113.84352111816406</v>
      </c>
      <c r="F22" s="1">
        <v>-670.82794189453125</v>
      </c>
      <c r="G22" s="1">
        <v>2044.0601806640625</v>
      </c>
      <c r="H22" s="1">
        <v>-2869.841064453125</v>
      </c>
      <c r="K22" s="1">
        <v>738.21484375</v>
      </c>
      <c r="L22" s="1">
        <v>-508.81369018554688</v>
      </c>
      <c r="M22" s="1">
        <v>-350.49923706054688</v>
      </c>
      <c r="P22" s="1">
        <v>-2098.02294921875</v>
      </c>
      <c r="Q22" s="1">
        <v>837.43585205078125</v>
      </c>
      <c r="R22" s="1">
        <v>564.32452392578125</v>
      </c>
      <c r="U22" s="3">
        <v>21</v>
      </c>
      <c r="V22" s="4">
        <f t="shared" si="0"/>
        <v>-1580.3274434407551</v>
      </c>
      <c r="W22" s="4">
        <f t="shared" si="1"/>
        <v>-386.73933919270831</v>
      </c>
      <c r="X22" s="4">
        <f t="shared" si="2"/>
        <v>117.9916254679362</v>
      </c>
      <c r="Y22" s="4">
        <f t="shared" si="3"/>
        <v>7.684427897135417</v>
      </c>
      <c r="Z22" s="4">
        <f t="shared" si="4"/>
        <v>-150.49584118525186</v>
      </c>
      <c r="AA22" s="4">
        <f t="shared" si="5"/>
        <v>459.88136037190753</v>
      </c>
      <c r="AB22" s="4">
        <f t="shared" si="6"/>
        <v>-528.33506266276038</v>
      </c>
      <c r="AC22" s="4">
        <f t="shared" si="7"/>
        <v>145.26824442545572</v>
      </c>
    </row>
    <row r="23" spans="1:29" x14ac:dyDescent="0.2">
      <c r="A23" s="1">
        <v>-4249.4189453125</v>
      </c>
      <c r="B23" s="1">
        <v>-387.40524291992188</v>
      </c>
      <c r="C23" s="1">
        <v>258.51300048828125</v>
      </c>
      <c r="F23" s="1">
        <v>-882.98138427734375</v>
      </c>
      <c r="G23" s="1">
        <v>2363.367919921875</v>
      </c>
      <c r="H23" s="1">
        <v>-3369.777099609375</v>
      </c>
      <c r="K23" s="1">
        <v>696.07513427734375</v>
      </c>
      <c r="L23" s="1">
        <v>-1047.6920166015625</v>
      </c>
      <c r="M23" s="1">
        <v>-1601.9056396484375</v>
      </c>
      <c r="P23" s="1">
        <v>-2113.6884765625</v>
      </c>
      <c r="Q23" s="1">
        <v>650.62060546875</v>
      </c>
      <c r="R23" s="1">
        <v>-424.24517822265625</v>
      </c>
      <c r="U23" s="3">
        <v>22</v>
      </c>
      <c r="V23" s="4">
        <f t="shared" si="0"/>
        <v>-1579.0424448649089</v>
      </c>
      <c r="W23" s="4">
        <f t="shared" si="1"/>
        <v>-498.86960856119794</v>
      </c>
      <c r="X23" s="4">
        <f t="shared" si="2"/>
        <v>-40.36602783203125</v>
      </c>
      <c r="Y23" s="4">
        <f t="shared" si="3"/>
        <v>-232.0875244140625</v>
      </c>
      <c r="Z23" s="4">
        <f t="shared" si="4"/>
        <v>-359.63331858317059</v>
      </c>
      <c r="AA23" s="4">
        <f t="shared" si="5"/>
        <v>629.35270182291663</v>
      </c>
      <c r="AB23" s="4">
        <f t="shared" si="6"/>
        <v>-429.84077962239581</v>
      </c>
      <c r="AC23" s="4">
        <f t="shared" si="7"/>
        <v>362.22179158528644</v>
      </c>
    </row>
    <row r="24" spans="1:29" x14ac:dyDescent="0.2">
      <c r="A24" s="1">
        <v>-4792.16259765625</v>
      </c>
      <c r="B24" s="1">
        <v>-275.43630981445312</v>
      </c>
      <c r="C24" s="1">
        <v>313.1820068359375</v>
      </c>
      <c r="F24" s="1">
        <v>-733.17388916015625</v>
      </c>
      <c r="G24" s="1">
        <v>2283.300537109375</v>
      </c>
      <c r="H24" s="1">
        <v>-3884.705078125</v>
      </c>
      <c r="K24" s="1">
        <v>328.50576782226562</v>
      </c>
      <c r="L24" s="1">
        <v>-900.98443603515625</v>
      </c>
      <c r="M24" s="1">
        <v>-1510.9136962890625</v>
      </c>
      <c r="P24" s="1">
        <v>-1530.720947265625</v>
      </c>
      <c r="Q24" s="1">
        <v>563.27410888671875</v>
      </c>
      <c r="R24" s="1">
        <v>-728.6507568359375</v>
      </c>
      <c r="U24" s="3">
        <v>23</v>
      </c>
      <c r="V24" s="4">
        <f t="shared" si="0"/>
        <v>-1459.4370625813801</v>
      </c>
      <c r="W24" s="4">
        <f t="shared" si="1"/>
        <v>-629.79685465494788</v>
      </c>
      <c r="X24" s="4">
        <f t="shared" si="2"/>
        <v>-651.17417399088538</v>
      </c>
      <c r="Y24" s="4">
        <f t="shared" si="3"/>
        <v>-629.10434977213538</v>
      </c>
      <c r="Z24" s="4">
        <f t="shared" si="4"/>
        <v>-511.45179239908856</v>
      </c>
      <c r="AA24" s="4">
        <f t="shared" si="5"/>
        <v>320.30843861897785</v>
      </c>
      <c r="AB24" s="4">
        <f t="shared" si="6"/>
        <v>-367.61992390950519</v>
      </c>
      <c r="AC24" s="4">
        <f t="shared" si="7"/>
        <v>516.65327962239587</v>
      </c>
    </row>
    <row r="25" spans="1:29" x14ac:dyDescent="0.2">
      <c r="A25" s="1">
        <v>-5392.96044921875</v>
      </c>
      <c r="B25" s="1">
        <v>-915.4283447265625</v>
      </c>
      <c r="C25" s="1">
        <v>261.96820068359375</v>
      </c>
      <c r="F25" s="1">
        <v>-591.6241455078125</v>
      </c>
      <c r="G25" s="1">
        <v>954.94427490234375</v>
      </c>
      <c r="H25" s="1">
        <v>-5216.96142578125</v>
      </c>
      <c r="K25" s="1">
        <v>125.42855834960938</v>
      </c>
      <c r="L25" s="1">
        <v>-272.40182495117188</v>
      </c>
      <c r="M25" s="1">
        <v>-351.45294189453125</v>
      </c>
      <c r="P25" s="1">
        <v>-2154.64404296875</v>
      </c>
      <c r="Q25" s="1">
        <v>609.32598876953125</v>
      </c>
      <c r="R25" s="1">
        <v>-235.26731872558594</v>
      </c>
      <c r="U25" s="3">
        <v>24</v>
      </c>
      <c r="V25" s="4">
        <f t="shared" si="0"/>
        <v>-1584.8056335449219</v>
      </c>
      <c r="W25" s="4">
        <f t="shared" si="1"/>
        <v>-778.19281005859375</v>
      </c>
      <c r="X25" s="4">
        <f t="shared" si="2"/>
        <v>-694.464121500651</v>
      </c>
      <c r="Y25" s="4">
        <f t="shared" si="3"/>
        <v>-565.36586507161462</v>
      </c>
      <c r="Z25" s="4">
        <f t="shared" si="4"/>
        <v>-542.00856526692712</v>
      </c>
      <c r="AA25" s="4">
        <f t="shared" si="5"/>
        <v>124.01938883463542</v>
      </c>
      <c r="AB25" s="4">
        <f t="shared" si="6"/>
        <v>-115.94333902994792</v>
      </c>
      <c r="AC25" s="4">
        <f t="shared" si="7"/>
        <v>209.68494669596353</v>
      </c>
    </row>
    <row r="26" spans="1:29" x14ac:dyDescent="0.2">
      <c r="A26" s="1">
        <v>-5917.2236328125</v>
      </c>
      <c r="B26" s="1">
        <v>-765.87347412109375</v>
      </c>
      <c r="C26" s="1">
        <v>263.03564453125</v>
      </c>
      <c r="F26" s="1">
        <v>-648.144775390625</v>
      </c>
      <c r="G26" s="1">
        <v>-163.53706359863281</v>
      </c>
      <c r="H26" s="1">
        <v>-5979.70166015625</v>
      </c>
      <c r="K26" s="1">
        <v>407.57791137695312</v>
      </c>
      <c r="L26" s="1">
        <v>-109.98328399658203</v>
      </c>
      <c r="M26" s="1">
        <v>-62.429706573486328</v>
      </c>
      <c r="P26" s="1">
        <v>-2719.5908203125</v>
      </c>
      <c r="Q26" s="1">
        <v>756.1201171875</v>
      </c>
      <c r="R26" s="1">
        <v>-295.28622436523438</v>
      </c>
      <c r="U26" s="3">
        <v>25</v>
      </c>
      <c r="V26" s="4">
        <f t="shared" si="0"/>
        <v>-2015.4735310872395</v>
      </c>
      <c r="W26" s="4">
        <f t="shared" si="1"/>
        <v>-1617.8804321289062</v>
      </c>
      <c r="X26" s="4">
        <f t="shared" si="2"/>
        <v>-166.14206949869791</v>
      </c>
      <c r="Y26" s="4">
        <f t="shared" si="3"/>
        <v>-593.52845764160156</v>
      </c>
      <c r="Z26" s="4">
        <f t="shared" si="4"/>
        <v>-314.28535461425781</v>
      </c>
      <c r="AA26" s="4">
        <f t="shared" si="5"/>
        <v>168.25116475423178</v>
      </c>
      <c r="AB26" s="4">
        <f t="shared" si="6"/>
        <v>128.9155298868815</v>
      </c>
      <c r="AC26" s="4">
        <f t="shared" si="7"/>
        <v>187.71929931640625</v>
      </c>
    </row>
    <row r="27" spans="1:29" x14ac:dyDescent="0.2">
      <c r="A27" s="1">
        <v>-6024.04541015625</v>
      </c>
      <c r="B27" s="1">
        <v>138.65013122558594</v>
      </c>
      <c r="C27" s="1">
        <v>375.08746337890625</v>
      </c>
      <c r="F27" s="1">
        <v>-367.20440673828125</v>
      </c>
      <c r="G27" s="1">
        <v>-703.34649658203125</v>
      </c>
      <c r="H27" s="1">
        <v>-5793.3095703125</v>
      </c>
      <c r="K27" s="1">
        <v>271.93038940429688</v>
      </c>
      <c r="L27" s="1">
        <v>143.41181945800781</v>
      </c>
      <c r="M27" s="1">
        <v>-125.47677612304688</v>
      </c>
      <c r="P27" s="1">
        <v>-2286.935791015625</v>
      </c>
      <c r="Q27" s="1">
        <v>514.83612060546875</v>
      </c>
      <c r="R27" s="1">
        <v>-256.09024047851562</v>
      </c>
      <c r="U27" s="3">
        <v>26</v>
      </c>
      <c r="V27" s="4">
        <f t="shared" si="0"/>
        <v>-2140.0204874674478</v>
      </c>
      <c r="W27" s="4">
        <f t="shared" si="1"/>
        <v>-2263.7944997151694</v>
      </c>
      <c r="X27" s="4">
        <f t="shared" si="2"/>
        <v>78.38830693562825</v>
      </c>
      <c r="Y27" s="4">
        <f t="shared" si="3"/>
        <v>-752.91897583007812</v>
      </c>
      <c r="Z27" s="4">
        <f t="shared" si="4"/>
        <v>-57.481435139973961</v>
      </c>
      <c r="AA27" s="4">
        <f t="shared" si="5"/>
        <v>202.15481058756509</v>
      </c>
      <c r="AB27" s="4">
        <f t="shared" si="6"/>
        <v>282.24836730957031</v>
      </c>
      <c r="AC27" s="4">
        <f t="shared" si="7"/>
        <v>431.77831141153973</v>
      </c>
    </row>
    <row r="28" spans="1:29" x14ac:dyDescent="0.2">
      <c r="A28" s="1">
        <v>-6338.046875</v>
      </c>
      <c r="B28" s="1">
        <v>126.50967407226562</v>
      </c>
      <c r="C28" s="1">
        <v>338.80337524414062</v>
      </c>
      <c r="F28" s="1">
        <v>163.71247863769531</v>
      </c>
      <c r="G28" s="1">
        <v>-746.898193359375</v>
      </c>
      <c r="H28" s="1">
        <v>-6524.63623046875</v>
      </c>
      <c r="K28" s="1">
        <v>-183.72494506835938</v>
      </c>
      <c r="L28" s="1">
        <v>713.197509765625</v>
      </c>
      <c r="M28" s="1">
        <v>-3.7816624641418457</v>
      </c>
      <c r="P28" s="1">
        <v>-1923.45263671875</v>
      </c>
      <c r="Q28" s="1">
        <v>336.80990600585938</v>
      </c>
      <c r="R28" s="1">
        <v>-509.109130859375</v>
      </c>
      <c r="U28" s="3">
        <v>27</v>
      </c>
      <c r="V28" s="4">
        <f t="shared" si="0"/>
        <v>-1836.7692718505859</v>
      </c>
      <c r="W28" s="4">
        <f t="shared" si="1"/>
        <v>-2287.9534912109375</v>
      </c>
      <c r="X28" s="4">
        <f t="shared" si="2"/>
        <v>96.621810913085938</v>
      </c>
      <c r="Y28" s="4">
        <f t="shared" si="3"/>
        <v>-676.06330362955725</v>
      </c>
      <c r="Z28" s="4">
        <f t="shared" si="4"/>
        <v>34.957906087239586</v>
      </c>
      <c r="AA28" s="4">
        <f t="shared" si="5"/>
        <v>132.36834971110025</v>
      </c>
      <c r="AB28" s="4">
        <f t="shared" si="6"/>
        <v>361.25567754109699</v>
      </c>
      <c r="AC28" s="4">
        <f t="shared" si="7"/>
        <v>209.87125651041666</v>
      </c>
    </row>
    <row r="29" spans="1:29" x14ac:dyDescent="0.2">
      <c r="A29" s="1">
        <v>-6633.12646484375</v>
      </c>
      <c r="B29" s="1">
        <v>266.76766967773438</v>
      </c>
      <c r="C29" s="1">
        <v>236.67549133300781</v>
      </c>
      <c r="F29" s="1">
        <v>662.23876953125</v>
      </c>
      <c r="G29" s="1">
        <v>-1082.0904541015625</v>
      </c>
      <c r="H29" s="1">
        <v>-7179.54052734375</v>
      </c>
      <c r="K29" s="1">
        <v>-420.66152954101562</v>
      </c>
      <c r="L29" s="1">
        <v>897.3114013671875</v>
      </c>
      <c r="M29" s="1">
        <v>390.8743896484375</v>
      </c>
      <c r="P29" s="1">
        <v>-2436.7900390625</v>
      </c>
      <c r="Q29" s="1">
        <v>650.22119140625</v>
      </c>
      <c r="R29" s="1">
        <v>-597.7686767578125</v>
      </c>
      <c r="U29" s="3">
        <v>28</v>
      </c>
      <c r="V29" s="4">
        <f t="shared" si="0"/>
        <v>-1957.5779418945312</v>
      </c>
      <c r="W29" s="4">
        <f t="shared" si="1"/>
        <v>-2369.2739817301431</v>
      </c>
      <c r="X29" s="4">
        <f t="shared" si="2"/>
        <v>175.2303007443746</v>
      </c>
      <c r="Y29" s="4">
        <f t="shared" si="3"/>
        <v>-698.58395385742188</v>
      </c>
      <c r="Z29" s="4">
        <f t="shared" si="4"/>
        <v>117.57824198404948</v>
      </c>
      <c r="AA29" s="4">
        <f t="shared" si="5"/>
        <v>-69.915497461954757</v>
      </c>
      <c r="AB29" s="4">
        <f t="shared" si="6"/>
        <v>203.78381856282553</v>
      </c>
      <c r="AC29" s="4">
        <f t="shared" si="7"/>
        <v>-36.53839111328125</v>
      </c>
    </row>
    <row r="30" spans="1:29" x14ac:dyDescent="0.2">
      <c r="A30" s="1">
        <v>-6836.8310546875</v>
      </c>
      <c r="B30" s="1">
        <v>797.869384765625</v>
      </c>
      <c r="C30" s="1">
        <v>9.1257572174072266</v>
      </c>
      <c r="F30" s="1">
        <v>424.2337646484375</v>
      </c>
      <c r="G30" s="1">
        <v>-1239.11083984375</v>
      </c>
      <c r="H30" s="1">
        <v>-6859.7578125</v>
      </c>
      <c r="K30" s="1">
        <v>-358.76217651367188</v>
      </c>
      <c r="L30" s="1">
        <v>452.34710693359375</v>
      </c>
      <c r="M30" s="1">
        <v>503.61639404296875</v>
      </c>
      <c r="P30" s="1">
        <v>-2842.650634765625</v>
      </c>
      <c r="Q30" s="1">
        <v>466.56219482421875</v>
      </c>
      <c r="R30" s="1">
        <v>-145.22894287109375</v>
      </c>
      <c r="U30" s="3">
        <v>29</v>
      </c>
      <c r="V30" s="4">
        <f t="shared" si="0"/>
        <v>-2043.2277679443359</v>
      </c>
      <c r="W30" s="4">
        <f t="shared" si="1"/>
        <v>-2533.1307373046875</v>
      </c>
      <c r="X30" s="4">
        <f t="shared" si="2"/>
        <v>289.17475382486981</v>
      </c>
      <c r="Y30" s="4">
        <f t="shared" si="3"/>
        <v>-794.7791748046875</v>
      </c>
      <c r="Z30" s="4">
        <f t="shared" si="4"/>
        <v>158.900390625</v>
      </c>
      <c r="AA30" s="4">
        <f t="shared" si="5"/>
        <v>-384.40767415364581</v>
      </c>
      <c r="AB30" s="4">
        <f t="shared" si="6"/>
        <v>153.29634348551431</v>
      </c>
      <c r="AC30" s="4">
        <f t="shared" si="7"/>
        <v>117.22503662109375</v>
      </c>
    </row>
    <row r="31" spans="1:29" x14ac:dyDescent="0.2">
      <c r="A31" s="1">
        <v>-7417.35986328125</v>
      </c>
      <c r="B31" s="1">
        <v>827.86956787109375</v>
      </c>
      <c r="C31" s="1">
        <v>-60.431793212890625</v>
      </c>
      <c r="F31" s="1">
        <v>809.01788330078125</v>
      </c>
      <c r="G31" s="1">
        <v>-1962.3890380859375</v>
      </c>
      <c r="H31" s="1">
        <v>-7033.60791015625</v>
      </c>
      <c r="K31" s="1">
        <v>-808.01910400390625</v>
      </c>
      <c r="L31" s="1">
        <v>281.37503051757812</v>
      </c>
      <c r="M31" s="1">
        <v>438.56149291992188</v>
      </c>
      <c r="P31" s="1">
        <v>-2316.90966796875</v>
      </c>
      <c r="Q31" s="1">
        <v>132.35630798339844</v>
      </c>
      <c r="R31" s="1">
        <v>-183.23220825195312</v>
      </c>
      <c r="U31" s="3">
        <v>30</v>
      </c>
      <c r="V31" s="4">
        <f t="shared" si="0"/>
        <v>-2009.9453042348225</v>
      </c>
      <c r="W31" s="4">
        <f t="shared" si="1"/>
        <v>-2558.211629231771</v>
      </c>
      <c r="X31" s="4">
        <f t="shared" si="2"/>
        <v>199.06710815429688</v>
      </c>
      <c r="Y31" s="4">
        <f t="shared" si="3"/>
        <v>-840.43912760416663</v>
      </c>
      <c r="Z31" s="4">
        <f t="shared" si="4"/>
        <v>181.41525650024414</v>
      </c>
      <c r="AA31" s="4">
        <f t="shared" si="5"/>
        <v>-549.15766906738281</v>
      </c>
      <c r="AB31" s="4">
        <f t="shared" si="6"/>
        <v>229.94949324925742</v>
      </c>
      <c r="AC31" s="4">
        <f t="shared" si="7"/>
        <v>103.2840576171875</v>
      </c>
    </row>
    <row r="32" spans="1:29" x14ac:dyDescent="0.2">
      <c r="A32" s="1">
        <v>-7988.970703125</v>
      </c>
      <c r="B32" s="1">
        <v>755.9556884765625</v>
      </c>
      <c r="C32" s="1">
        <v>-111.78621673583984</v>
      </c>
      <c r="F32" s="1">
        <v>1709.536376953125</v>
      </c>
      <c r="G32" s="1">
        <v>-2763.714111328125</v>
      </c>
      <c r="H32" s="1">
        <v>-7899.30126953125</v>
      </c>
      <c r="K32" s="1">
        <v>-1133.2916259765625</v>
      </c>
      <c r="L32" s="1">
        <v>545.4107666015625</v>
      </c>
      <c r="M32" s="1">
        <v>575.748779296875</v>
      </c>
      <c r="P32" s="1">
        <v>-2616.9267578125</v>
      </c>
      <c r="Q32" s="1">
        <v>23.869161605834961</v>
      </c>
      <c r="R32" s="1">
        <v>-148.3682861328125</v>
      </c>
      <c r="U32" s="3">
        <v>31</v>
      </c>
      <c r="V32" s="4">
        <f t="shared" si="0"/>
        <v>-2216.6406962076821</v>
      </c>
      <c r="W32" s="4">
        <f t="shared" si="1"/>
        <v>-2728.9930216471353</v>
      </c>
      <c r="X32" s="4">
        <f t="shared" si="2"/>
        <v>-29.360860188802082</v>
      </c>
      <c r="Y32" s="4">
        <f t="shared" si="3"/>
        <v>-789.26185607910156</v>
      </c>
      <c r="Z32" s="4">
        <f t="shared" si="4"/>
        <v>327.30380757649738</v>
      </c>
      <c r="AA32" s="4">
        <f t="shared" si="5"/>
        <v>-586.47014872233069</v>
      </c>
      <c r="AB32" s="4">
        <f t="shared" si="6"/>
        <v>324.60784276326496</v>
      </c>
      <c r="AC32" s="4">
        <f t="shared" si="7"/>
        <v>-92.332715352376297</v>
      </c>
    </row>
    <row r="33" spans="1:29" x14ac:dyDescent="0.2">
      <c r="A33" s="1">
        <v>-8180.37060546875</v>
      </c>
      <c r="B33" s="1">
        <v>364.78396606445312</v>
      </c>
      <c r="C33" s="1">
        <v>-37.773460388183594</v>
      </c>
      <c r="F33" s="1">
        <v>2158.5703125</v>
      </c>
      <c r="G33" s="1">
        <v>-3968.453369140625</v>
      </c>
      <c r="H33" s="1">
        <v>-8764.2373046875</v>
      </c>
      <c r="K33" s="1">
        <v>-1358.5015869140625</v>
      </c>
      <c r="L33" s="1">
        <v>914.29803466796875</v>
      </c>
      <c r="M33" s="1">
        <v>1046.6314697265625</v>
      </c>
      <c r="P33" s="1">
        <v>-2958.146728515625</v>
      </c>
      <c r="Q33" s="1">
        <v>680.18670654296875</v>
      </c>
      <c r="R33" s="1">
        <v>-182.59811401367188</v>
      </c>
      <c r="U33" s="3">
        <v>32</v>
      </c>
      <c r="V33" s="4">
        <f t="shared" si="0"/>
        <v>-2448.2670771280923</v>
      </c>
      <c r="W33" s="4">
        <f t="shared" si="1"/>
        <v>-2984.4930013020835</v>
      </c>
      <c r="X33" s="4">
        <f t="shared" si="2"/>
        <v>-4.044026692708333</v>
      </c>
      <c r="Y33" s="4">
        <f t="shared" si="3"/>
        <v>-913.80862744649255</v>
      </c>
      <c r="Z33" s="4">
        <f t="shared" si="4"/>
        <v>534.46321105957031</v>
      </c>
      <c r="AA33" s="4">
        <f t="shared" si="5"/>
        <v>-477.56131299336749</v>
      </c>
      <c r="AB33" s="4">
        <f t="shared" si="6"/>
        <v>496.651606241862</v>
      </c>
      <c r="AC33" s="4">
        <f t="shared" si="7"/>
        <v>-152.90114339192709</v>
      </c>
    </row>
    <row r="34" spans="1:29" x14ac:dyDescent="0.2">
      <c r="A34" s="1">
        <v>-8527.7666015625</v>
      </c>
      <c r="B34" s="1">
        <v>556.70599365234375</v>
      </c>
      <c r="C34" s="1">
        <v>211.52836608886719</v>
      </c>
      <c r="F34" s="1">
        <v>2587.8623046875</v>
      </c>
      <c r="G34" s="1">
        <v>-4516.7939453125</v>
      </c>
      <c r="H34" s="1">
        <v>-9223.1103515625</v>
      </c>
      <c r="K34" s="1">
        <v>-1760.946044921875</v>
      </c>
      <c r="L34" s="1">
        <v>1326.529052734375</v>
      </c>
      <c r="M34" s="1">
        <v>1376.9827880859375</v>
      </c>
      <c r="P34" s="1">
        <v>-3503.79638671875</v>
      </c>
      <c r="Q34" s="1">
        <v>1166.5120849609375</v>
      </c>
      <c r="R34" s="1">
        <v>-304.13653564453125</v>
      </c>
      <c r="U34" s="3">
        <v>33</v>
      </c>
      <c r="V34" s="4">
        <f t="shared" si="0"/>
        <v>-2617.7866999308267</v>
      </c>
      <c r="W34" s="4">
        <f t="shared" si="1"/>
        <v>-3524.706787109375</v>
      </c>
      <c r="X34" s="4">
        <f t="shared" si="2"/>
        <v>200.80930582682291</v>
      </c>
      <c r="Y34" s="4">
        <f t="shared" si="3"/>
        <v>-820.186045328776</v>
      </c>
      <c r="Z34" s="4">
        <f t="shared" si="4"/>
        <v>643.88564046223962</v>
      </c>
      <c r="AA34" s="4">
        <f t="shared" si="5"/>
        <v>-444.08732096354169</v>
      </c>
      <c r="AB34" s="4">
        <f t="shared" si="6"/>
        <v>775.89329020182288</v>
      </c>
      <c r="AC34" s="4">
        <f t="shared" si="7"/>
        <v>-126.41895548502605</v>
      </c>
    </row>
    <row r="35" spans="1:29" x14ac:dyDescent="0.2">
      <c r="A35" s="1">
        <v>-9071.767578125</v>
      </c>
      <c r="B35" s="1">
        <v>1274.9171142578125</v>
      </c>
      <c r="C35" s="1">
        <v>265.9161376953125</v>
      </c>
      <c r="F35" s="1">
        <v>3271.216796875</v>
      </c>
      <c r="G35" s="1">
        <v>-4367.298828125</v>
      </c>
      <c r="H35" s="1">
        <v>-9218.265625</v>
      </c>
      <c r="K35" s="1">
        <v>-2015.843505859375</v>
      </c>
      <c r="L35" s="1">
        <v>1971.8460693359375</v>
      </c>
      <c r="M35" s="1">
        <v>1503.6387939453125</v>
      </c>
      <c r="P35" s="1">
        <v>-3614.3525390625</v>
      </c>
      <c r="Q35" s="1">
        <v>2113.67333984375</v>
      </c>
      <c r="R35" s="1">
        <v>-604.6007080078125</v>
      </c>
      <c r="U35" s="3">
        <v>34</v>
      </c>
      <c r="V35" s="4">
        <f t="shared" si="0"/>
        <v>-2586.5107472737632</v>
      </c>
      <c r="W35" s="4">
        <f t="shared" si="1"/>
        <v>-3717.3473307291665</v>
      </c>
      <c r="X35" s="4">
        <f t="shared" si="2"/>
        <v>314.1885986328125</v>
      </c>
      <c r="Y35" s="4">
        <f t="shared" si="3"/>
        <v>-880.47361246744788</v>
      </c>
      <c r="Z35" s="4">
        <f t="shared" si="4"/>
        <v>828.22079467773438</v>
      </c>
      <c r="AA35" s="4">
        <f t="shared" si="5"/>
        <v>-366.15764872233075</v>
      </c>
      <c r="AB35" s="4">
        <f t="shared" si="6"/>
        <v>966.51778157552087</v>
      </c>
      <c r="AC35" s="4">
        <f>AVERAGE(P73:R73)</f>
        <v>-293.800048828125</v>
      </c>
    </row>
    <row r="36" spans="1:29" x14ac:dyDescent="0.2">
      <c r="P36" s="2"/>
      <c r="Q36" s="2"/>
      <c r="R36" s="2"/>
      <c r="U36" s="3">
        <v>35</v>
      </c>
      <c r="V36" s="4">
        <f t="shared" si="0"/>
        <v>-2510.3114420572915</v>
      </c>
      <c r="W36" s="4">
        <f t="shared" si="1"/>
        <v>-3438.1158854166665</v>
      </c>
      <c r="X36" s="4">
        <f t="shared" si="2"/>
        <v>486.547119140625</v>
      </c>
      <c r="Y36" s="4">
        <f t="shared" si="3"/>
        <v>-701.75996907552087</v>
      </c>
      <c r="Z36" s="4">
        <f t="shared" si="4"/>
        <v>1045.7864481608074</v>
      </c>
      <c r="AA36" s="4">
        <f>AVERAGE(F74:H74)</f>
        <v>-350.25662231445312</v>
      </c>
      <c r="AB36" s="4">
        <f t="shared" si="6"/>
        <v>1409.9756469726562</v>
      </c>
      <c r="AC36" s="4">
        <f>AVERAGE(P74:R74)</f>
        <v>-282.53921508789062</v>
      </c>
    </row>
    <row r="40" spans="1:29" x14ac:dyDescent="0.2">
      <c r="A40" s="1">
        <v>2346.776611328125</v>
      </c>
      <c r="B40" s="1">
        <v>2298.656005859375</v>
      </c>
      <c r="C40" s="1">
        <v>1212.5240478515625</v>
      </c>
      <c r="F40" s="1">
        <v>-7583.19677734375</v>
      </c>
      <c r="G40" s="1">
        <v>-5369.78076171875</v>
      </c>
      <c r="H40" s="1">
        <v>-1478.51953125</v>
      </c>
      <c r="K40" s="1">
        <v>1550.818115234375</v>
      </c>
      <c r="L40" s="1">
        <v>618.94500732421875</v>
      </c>
      <c r="M40" s="1">
        <v>1443.28515625</v>
      </c>
      <c r="P40" s="1">
        <v>-1915.5177001953125</v>
      </c>
      <c r="Q40" s="1">
        <v>-1658.0526123046875</v>
      </c>
      <c r="R40" s="1">
        <v>379.06640625</v>
      </c>
    </row>
    <row r="41" spans="1:29" x14ac:dyDescent="0.2">
      <c r="A41" s="1">
        <v>1860.615966796875</v>
      </c>
      <c r="B41" s="1">
        <v>2259.224365234375</v>
      </c>
      <c r="C41" s="1">
        <v>725.78985595703125</v>
      </c>
      <c r="F41" s="1">
        <v>-6310.26806640625</v>
      </c>
      <c r="G41" s="1">
        <v>-4347.45458984375</v>
      </c>
      <c r="H41" s="1">
        <v>-760.53179931640625</v>
      </c>
      <c r="K41" s="1">
        <v>1685.400146484375</v>
      </c>
      <c r="L41" s="1">
        <v>1224.7750244140625</v>
      </c>
      <c r="M41" s="1">
        <v>1673.16845703125</v>
      </c>
      <c r="P41" s="1">
        <v>-1280.3138427734375</v>
      </c>
      <c r="Q41" s="1">
        <v>-804.58721923828125</v>
      </c>
      <c r="R41" s="1">
        <v>48.28125</v>
      </c>
    </row>
    <row r="42" spans="1:29" x14ac:dyDescent="0.2">
      <c r="A42" s="1">
        <v>1133.3968505859375</v>
      </c>
      <c r="B42" s="1">
        <v>1691.972412109375</v>
      </c>
      <c r="C42" s="1">
        <v>412.07119750976562</v>
      </c>
      <c r="F42" s="1">
        <v>-4499.61328125</v>
      </c>
      <c r="G42" s="1">
        <v>-2991.777099609375</v>
      </c>
      <c r="H42" s="1">
        <v>677.95599365234375</v>
      </c>
      <c r="K42" s="1">
        <v>1281.5369873046875</v>
      </c>
      <c r="L42" s="1">
        <v>1322.08935546875</v>
      </c>
      <c r="M42" s="1">
        <v>1500.6142578125</v>
      </c>
      <c r="P42" s="1">
        <v>-724.40289306640625</v>
      </c>
      <c r="Q42" s="1">
        <v>-613.81317138671875</v>
      </c>
      <c r="R42" s="1">
        <v>0</v>
      </c>
    </row>
    <row r="43" spans="1:29" x14ac:dyDescent="0.2">
      <c r="A43" s="1">
        <v>539.6346435546875</v>
      </c>
      <c r="B43" s="1">
        <v>651.60321044921875</v>
      </c>
      <c r="C43" s="1">
        <v>704.2197265625</v>
      </c>
      <c r="F43" s="1">
        <v>-3705.3486328125</v>
      </c>
      <c r="G43" s="1">
        <v>-2207.435546875</v>
      </c>
      <c r="H43" s="1">
        <v>1507.2327880859375</v>
      </c>
      <c r="K43" s="1">
        <v>621.97064208984375</v>
      </c>
      <c r="L43" s="1">
        <v>1073.5052490234375</v>
      </c>
      <c r="M43" s="1">
        <v>1372.91162109375</v>
      </c>
      <c r="P43" s="1">
        <v>-775.69122314453125</v>
      </c>
      <c r="Q43" s="1">
        <v>-468.98834228515625</v>
      </c>
      <c r="R43" s="1">
        <v>449.3203125</v>
      </c>
    </row>
    <row r="44" spans="1:29" x14ac:dyDescent="0.2">
      <c r="A44" s="1">
        <v>350.49749755859375</v>
      </c>
      <c r="B44" s="1">
        <v>392.18719482421875</v>
      </c>
      <c r="C44" s="1">
        <v>896.6885986328125</v>
      </c>
      <c r="F44" s="1">
        <v>-1993.342041015625</v>
      </c>
      <c r="G44" s="1">
        <v>-1395.3282470703125</v>
      </c>
      <c r="H44" s="1">
        <v>1534.822021484375</v>
      </c>
      <c r="K44" s="1">
        <v>462.677734375</v>
      </c>
      <c r="L44" s="1">
        <v>886.514892578125</v>
      </c>
      <c r="M44" s="1">
        <v>1268.130859375</v>
      </c>
      <c r="P44" s="1">
        <v>-564.5693359375</v>
      </c>
      <c r="Q44" s="1">
        <v>427.49273681640625</v>
      </c>
      <c r="R44" s="1">
        <v>584.62890625</v>
      </c>
    </row>
    <row r="45" spans="1:29" x14ac:dyDescent="0.2">
      <c r="A45" s="1">
        <v>372.2197265625</v>
      </c>
      <c r="B45" s="1">
        <v>501.95867919921875</v>
      </c>
      <c r="C45" s="1">
        <v>495.173095703125</v>
      </c>
      <c r="F45" s="1">
        <v>-509.65573120117188</v>
      </c>
      <c r="G45" s="1">
        <v>-380.11172485351562</v>
      </c>
      <c r="H45" s="1">
        <v>591.606689453125</v>
      </c>
      <c r="K45" s="1">
        <v>514.05670166015625</v>
      </c>
      <c r="L45" s="1">
        <v>543.0479736328125</v>
      </c>
      <c r="M45" s="1">
        <v>884.81103515625</v>
      </c>
      <c r="P45" s="1">
        <v>-622.142822265625</v>
      </c>
      <c r="Q45" s="1">
        <v>795.22772216796875</v>
      </c>
      <c r="R45" s="1">
        <v>893.63671875</v>
      </c>
    </row>
    <row r="46" spans="1:29" x14ac:dyDescent="0.2">
      <c r="A46" s="1">
        <v>374.21536254882812</v>
      </c>
      <c r="B46" s="1">
        <v>325.50357055664062</v>
      </c>
      <c r="C46" s="1">
        <v>261.5950927734375</v>
      </c>
      <c r="F46" s="1">
        <v>262.84307861328125</v>
      </c>
      <c r="G46" s="1">
        <v>350.8157958984375</v>
      </c>
      <c r="H46" s="1">
        <v>464.81317138671875</v>
      </c>
      <c r="K46" s="1">
        <v>418.26382446289062</v>
      </c>
      <c r="L46" s="1">
        <v>341.0263671875</v>
      </c>
      <c r="M46" s="1">
        <v>235.1552734375</v>
      </c>
      <c r="P46" s="1">
        <v>-292.41156005859375</v>
      </c>
      <c r="Q46" s="1">
        <v>489.96270751953125</v>
      </c>
      <c r="R46" s="1">
        <v>1103.30078125</v>
      </c>
    </row>
    <row r="47" spans="1:29" x14ac:dyDescent="0.2">
      <c r="A47" s="1">
        <v>266.30477905273438</v>
      </c>
      <c r="B47" s="1">
        <v>154.88442993164062</v>
      </c>
      <c r="C47" s="1">
        <v>149.42333984375</v>
      </c>
      <c r="F47" s="1">
        <v>538.8887939453125</v>
      </c>
      <c r="G47" s="1">
        <v>398.6964111328125</v>
      </c>
      <c r="H47" s="1">
        <v>1121.3790283203125</v>
      </c>
      <c r="K47" s="1">
        <v>369.43966674804688</v>
      </c>
      <c r="L47" s="1">
        <v>-20.659273147583008</v>
      </c>
      <c r="M47" s="1">
        <v>66.34326171875</v>
      </c>
      <c r="P47" s="1">
        <v>289.44467163085938</v>
      </c>
      <c r="Q47" s="1">
        <v>274.35003662109375</v>
      </c>
      <c r="R47" s="1">
        <v>1919.28125</v>
      </c>
    </row>
    <row r="48" spans="1:29" x14ac:dyDescent="0.2">
      <c r="A48" s="1">
        <v>71.616836547851562</v>
      </c>
      <c r="B48" s="1">
        <v>-191.14878845214844</v>
      </c>
      <c r="C48" s="1">
        <v>-108.6624755859375</v>
      </c>
      <c r="F48" s="1">
        <v>1447.0281982421875</v>
      </c>
      <c r="G48" s="1">
        <v>754.52239990234375</v>
      </c>
      <c r="H48" s="1">
        <v>889.12457275390625</v>
      </c>
      <c r="K48" s="1">
        <v>246.83427429199219</v>
      </c>
      <c r="L48" s="1">
        <v>-158.36836242675781</v>
      </c>
      <c r="M48" s="1">
        <v>31.4765625</v>
      </c>
      <c r="P48" s="1">
        <v>928.9180908203125</v>
      </c>
      <c r="Q48" s="1">
        <v>-226.34077453613281</v>
      </c>
      <c r="R48" s="1">
        <v>2074.67578125</v>
      </c>
    </row>
    <row r="49" spans="1:18" x14ac:dyDescent="0.2">
      <c r="A49" s="1">
        <v>-71.086723327636719</v>
      </c>
      <c r="B49" s="1">
        <v>-532.1741943359375</v>
      </c>
      <c r="C49" s="1">
        <v>-117.31861114501953</v>
      </c>
      <c r="F49" s="1">
        <v>1309.386474609375</v>
      </c>
      <c r="G49" s="1">
        <v>1761.2154541015625</v>
      </c>
      <c r="H49" s="1">
        <v>-190.5439453125</v>
      </c>
      <c r="K49" s="1">
        <v>-196.9898681640625</v>
      </c>
      <c r="L49" s="1">
        <v>-300.32745361328125</v>
      </c>
      <c r="M49" s="1">
        <v>-246.16357421875</v>
      </c>
      <c r="P49" s="1">
        <v>786.22747802734375</v>
      </c>
      <c r="Q49" s="1">
        <v>-677.89093017578125</v>
      </c>
      <c r="R49" s="1">
        <v>1999.51953125</v>
      </c>
    </row>
    <row r="50" spans="1:18" x14ac:dyDescent="0.2">
      <c r="A50" s="1">
        <v>-327.817626953125</v>
      </c>
      <c r="B50" s="1">
        <v>-466.7620849609375</v>
      </c>
      <c r="C50" s="1">
        <v>1.7830656766891479</v>
      </c>
      <c r="F50" s="1">
        <v>1054.69775390625</v>
      </c>
      <c r="G50" s="1">
        <v>1507.56494140625</v>
      </c>
      <c r="H50" s="1">
        <v>-1190.35302734375</v>
      </c>
      <c r="K50" s="1">
        <v>-293.95465087890625</v>
      </c>
      <c r="L50" s="1">
        <v>-304.21624755859375</v>
      </c>
      <c r="M50" s="1">
        <v>-466.6396484375</v>
      </c>
      <c r="P50" s="1">
        <v>582.13055419921875</v>
      </c>
      <c r="Q50" s="1">
        <v>-706.54266357421875</v>
      </c>
      <c r="R50" s="1">
        <v>2270.7578125</v>
      </c>
    </row>
    <row r="51" spans="1:18" x14ac:dyDescent="0.2">
      <c r="A51" s="1">
        <v>-558.74383544921875</v>
      </c>
      <c r="B51" s="1">
        <v>144.14218139648438</v>
      </c>
      <c r="C51" s="1">
        <v>-385.16995239257812</v>
      </c>
      <c r="F51" s="1">
        <v>859.85284423828125</v>
      </c>
      <c r="G51" s="1">
        <v>1252.640869140625</v>
      </c>
      <c r="H51" s="1">
        <v>-1393.0216064453125</v>
      </c>
      <c r="K51" s="1">
        <v>-381.30221557617188</v>
      </c>
      <c r="L51" s="1">
        <v>-238.60501098632812</v>
      </c>
      <c r="M51" s="1">
        <v>-510.51416015625</v>
      </c>
      <c r="P51" s="1">
        <v>774.88134765625</v>
      </c>
      <c r="Q51" s="1">
        <v>-592.7061767578125</v>
      </c>
      <c r="R51" s="1">
        <v>2666.35546875</v>
      </c>
    </row>
    <row r="52" spans="1:18" x14ac:dyDescent="0.2">
      <c r="A52" s="1">
        <v>-598.6075439453125</v>
      </c>
      <c r="B52" s="1">
        <v>59.319904327392578</v>
      </c>
      <c r="C52" s="1">
        <v>-459.90420532226562</v>
      </c>
      <c r="F52" s="1">
        <v>728.7110595703125</v>
      </c>
      <c r="G52" s="1">
        <v>1485.560546875</v>
      </c>
      <c r="H52" s="1">
        <v>-1383.9088134765625</v>
      </c>
      <c r="K52" s="1">
        <v>-824.1810302734375</v>
      </c>
      <c r="L52" s="1">
        <v>-482.50942993164062</v>
      </c>
      <c r="M52" s="1">
        <v>-603.123046875</v>
      </c>
      <c r="P52" s="1">
        <v>239.92506408691406</v>
      </c>
      <c r="Q52" s="1">
        <v>-985.90869140625</v>
      </c>
      <c r="R52" s="1">
        <v>2569.51171875</v>
      </c>
    </row>
    <row r="53" spans="1:18" x14ac:dyDescent="0.2">
      <c r="A53" s="1">
        <v>-472.96347045898438</v>
      </c>
      <c r="B53" s="1">
        <v>-773.61956787109375</v>
      </c>
      <c r="C53" s="1">
        <v>-436.45095825195312</v>
      </c>
      <c r="F53" s="1">
        <v>1603.5848388671875</v>
      </c>
      <c r="G53" s="1">
        <v>1134.691162109375</v>
      </c>
      <c r="H53" s="1">
        <v>-1347.233642578125</v>
      </c>
      <c r="K53" s="1">
        <v>-853.42706298828125</v>
      </c>
      <c r="L53" s="1">
        <v>-512.991943359375</v>
      </c>
      <c r="M53" s="1">
        <v>-956.88037109375</v>
      </c>
      <c r="P53" s="1">
        <v>-57.179634094238281</v>
      </c>
      <c r="Q53" s="1">
        <v>-1178.7362060546875</v>
      </c>
      <c r="R53" s="1">
        <v>2296.4140625</v>
      </c>
    </row>
    <row r="54" spans="1:18" x14ac:dyDescent="0.2">
      <c r="A54" s="1">
        <v>-381.77252197265625</v>
      </c>
      <c r="B54" s="1">
        <v>-989.12933349609375</v>
      </c>
      <c r="C54" s="1">
        <v>-623.31805419921875</v>
      </c>
      <c r="F54" s="1">
        <v>1852.333740234375</v>
      </c>
      <c r="G54" s="1">
        <v>133.11088562011719</v>
      </c>
      <c r="H54" s="1">
        <v>-1209.167724609375</v>
      </c>
      <c r="K54" s="1">
        <v>-611.977783203125</v>
      </c>
      <c r="L54" s="1">
        <v>-327.8885498046875</v>
      </c>
      <c r="M54" s="1">
        <v>-1071.2080078125</v>
      </c>
      <c r="P54" s="1">
        <v>156.81723022460938</v>
      </c>
      <c r="Q54" s="1">
        <v>-339.856689453125</v>
      </c>
      <c r="R54" s="1">
        <v>2100.1953125</v>
      </c>
    </row>
    <row r="55" spans="1:18" x14ac:dyDescent="0.2">
      <c r="A55" s="1">
        <v>-325.78466796875</v>
      </c>
      <c r="B55" s="1">
        <v>-1056.69384765625</v>
      </c>
      <c r="C55" s="1">
        <v>-513.92730712890625</v>
      </c>
      <c r="F55" s="1">
        <v>1578.81689453125</v>
      </c>
      <c r="G55" s="1">
        <v>-132.22723388671875</v>
      </c>
      <c r="H55" s="1">
        <v>-1200.2347412109375</v>
      </c>
      <c r="K55" s="1">
        <v>-437.21600341796875</v>
      </c>
      <c r="L55" s="1">
        <v>-59.191383361816406</v>
      </c>
      <c r="M55" s="1">
        <v>-998.87158203125</v>
      </c>
      <c r="P55" s="1">
        <v>-24.596071243286133</v>
      </c>
      <c r="Q55" s="1">
        <v>-595.8052978515625</v>
      </c>
      <c r="R55" s="1">
        <v>2020.3828125</v>
      </c>
    </row>
    <row r="56" spans="1:18" x14ac:dyDescent="0.2">
      <c r="A56" s="1">
        <v>-450.43353271484375</v>
      </c>
      <c r="B56" s="1">
        <v>-989.54736328125</v>
      </c>
      <c r="C56" s="1">
        <v>-10.755300521850586</v>
      </c>
      <c r="F56" s="1">
        <v>1083.565673828125</v>
      </c>
      <c r="G56" s="1">
        <v>397.57528686523438</v>
      </c>
      <c r="H56" s="1">
        <v>-1311.2938232421875</v>
      </c>
      <c r="K56" s="1">
        <v>-458.7823486328125</v>
      </c>
      <c r="L56" s="1">
        <v>-476.06454467773438</v>
      </c>
      <c r="M56" s="1">
        <v>-913.40234375</v>
      </c>
      <c r="P56" s="1">
        <v>-165.07186889648438</v>
      </c>
      <c r="Q56" s="1">
        <v>-1287.09375</v>
      </c>
      <c r="R56" s="1">
        <v>2087.90625</v>
      </c>
    </row>
    <row r="57" spans="1:18" x14ac:dyDescent="0.2">
      <c r="A57" s="1">
        <v>-412.31289672851562</v>
      </c>
      <c r="B57" s="1">
        <v>-606.26806640625</v>
      </c>
      <c r="C57" s="1">
        <v>18.916690826416016</v>
      </c>
      <c r="F57" s="1">
        <v>584.2052001953125</v>
      </c>
      <c r="G57" s="1">
        <v>377.3543701171875</v>
      </c>
      <c r="H57" s="1">
        <v>-1190.05615234375</v>
      </c>
      <c r="K57" s="1">
        <v>-594.16119384765625</v>
      </c>
      <c r="L57" s="1">
        <v>-761.48455810546875</v>
      </c>
      <c r="M57" s="1">
        <v>-1335.88623046875</v>
      </c>
      <c r="P57" s="1">
        <v>-48.325008392333984</v>
      </c>
      <c r="Q57" s="1">
        <v>-1757.2454833984375</v>
      </c>
      <c r="R57" s="1">
        <v>2109.1796875</v>
      </c>
    </row>
    <row r="58" spans="1:18" x14ac:dyDescent="0.2">
      <c r="A58" s="1">
        <v>-90.719581604003906</v>
      </c>
      <c r="B58" s="1">
        <v>-62.957527160644531</v>
      </c>
      <c r="C58" s="1">
        <v>-304.13006591796875</v>
      </c>
      <c r="F58" s="1">
        <v>521.1258544921875</v>
      </c>
      <c r="G58" s="1">
        <v>394.1177978515625</v>
      </c>
      <c r="H58" s="1">
        <v>-629.287109375</v>
      </c>
      <c r="K58" s="1">
        <v>-814.87591552734375</v>
      </c>
      <c r="L58" s="1">
        <v>-1017.5139770507812</v>
      </c>
      <c r="M58" s="1">
        <v>-1264.9248046875</v>
      </c>
      <c r="P58" s="1">
        <v>492.98825073242188</v>
      </c>
      <c r="Q58" s="1">
        <v>-1869.190185546875</v>
      </c>
      <c r="R58" s="1">
        <v>2584.86328125</v>
      </c>
    </row>
    <row r="59" spans="1:18" x14ac:dyDescent="0.2">
      <c r="A59" s="1">
        <v>42.225292205810547</v>
      </c>
      <c r="B59" s="1">
        <v>21.345193862915039</v>
      </c>
      <c r="C59" s="1">
        <v>-388.82525634765625</v>
      </c>
      <c r="F59" s="1">
        <v>1427.046630859375</v>
      </c>
      <c r="G59" s="1">
        <v>122.92031860351562</v>
      </c>
      <c r="H59" s="1">
        <v>-325.60409545898438</v>
      </c>
      <c r="K59" s="1">
        <v>-690.2625732421875</v>
      </c>
      <c r="L59" s="1">
        <v>-976.48089599609375</v>
      </c>
      <c r="M59" s="1">
        <v>-723.50244140625</v>
      </c>
      <c r="P59" s="1">
        <v>434.668701171875</v>
      </c>
      <c r="Q59" s="1">
        <v>-2422.541259765625</v>
      </c>
      <c r="R59" s="1">
        <v>2897.63671875</v>
      </c>
    </row>
    <row r="60" spans="1:18" x14ac:dyDescent="0.2">
      <c r="A60" s="1">
        <v>160.127197265625</v>
      </c>
      <c r="B60" s="1">
        <v>-5.1880240440368652</v>
      </c>
      <c r="C60" s="1">
        <v>-606.42669677734375</v>
      </c>
      <c r="F60" s="1">
        <v>1589.74853515625</v>
      </c>
      <c r="G60" s="1">
        <v>-75.253730773925781</v>
      </c>
      <c r="H60" s="1">
        <v>-134.85072326660156</v>
      </c>
      <c r="K60" s="1">
        <v>-236.94610595703125</v>
      </c>
      <c r="L60" s="1">
        <v>-813.01806640625</v>
      </c>
      <c r="M60" s="1">
        <v>-535.041015625</v>
      </c>
      <c r="P60" s="1">
        <v>210.59916687011719</v>
      </c>
      <c r="Q60" s="1">
        <v>-2778.54833984375</v>
      </c>
      <c r="R60" s="1">
        <v>3003.75390625</v>
      </c>
    </row>
    <row r="61" spans="1:18" x14ac:dyDescent="0.2">
      <c r="A61" s="1">
        <v>-454.06463623046875</v>
      </c>
      <c r="B61" s="1">
        <v>-104.13530731201172</v>
      </c>
      <c r="C61" s="1">
        <v>-520.70001220703125</v>
      </c>
      <c r="F61" s="1">
        <v>1866.653564453125</v>
      </c>
      <c r="G61" s="1">
        <v>86.048782348632812</v>
      </c>
      <c r="H61" s="1">
        <v>-64.644241333007812</v>
      </c>
      <c r="K61" s="1">
        <v>-164.215576171875</v>
      </c>
      <c r="L61" s="1">
        <v>-650.7193603515625</v>
      </c>
      <c r="M61" s="1">
        <v>-474.58740234375</v>
      </c>
      <c r="P61" s="1">
        <v>299.58822631835938</v>
      </c>
      <c r="Q61" s="1">
        <v>-2279.2001953125</v>
      </c>
      <c r="R61" s="1">
        <v>3066.27734375</v>
      </c>
    </row>
    <row r="62" spans="1:18" x14ac:dyDescent="0.2">
      <c r="A62" s="1">
        <v>-1137.5806884765625</v>
      </c>
      <c r="B62" s="1">
        <v>-163.80133056640625</v>
      </c>
      <c r="C62" s="1">
        <v>-232.97335815429688</v>
      </c>
      <c r="F62" s="1">
        <v>945.62115478515625</v>
      </c>
      <c r="G62" s="1">
        <v>-41.101829528808594</v>
      </c>
      <c r="H62" s="1">
        <v>56.405990600585938</v>
      </c>
      <c r="K62" s="1">
        <v>-412.86001586914062</v>
      </c>
      <c r="L62" s="1">
        <v>-413.623779296875</v>
      </c>
      <c r="M62" s="1">
        <v>-276.3759765625</v>
      </c>
      <c r="P62" s="1">
        <v>-159.8094482421875</v>
      </c>
      <c r="Q62" s="1">
        <v>-2129.226806640625</v>
      </c>
      <c r="R62" s="1">
        <v>3838.99609375</v>
      </c>
    </row>
    <row r="63" spans="1:18" x14ac:dyDescent="0.2">
      <c r="A63" s="1">
        <v>-1046.3194580078125</v>
      </c>
      <c r="B63" s="1">
        <v>-384.89706420898438</v>
      </c>
      <c r="C63" s="1">
        <v>-194.80917358398438</v>
      </c>
      <c r="F63" s="1">
        <v>195.18251037597656</v>
      </c>
      <c r="G63" s="1">
        <v>-21.09619140625</v>
      </c>
      <c r="H63" s="1">
        <v>197.97184753417969</v>
      </c>
      <c r="K63" s="1">
        <v>-308.65292358398438</v>
      </c>
      <c r="L63" s="1">
        <v>-321.89535522460938</v>
      </c>
      <c r="M63" s="1">
        <v>282.71826171875</v>
      </c>
      <c r="P63" s="1">
        <v>-479.05087280273438</v>
      </c>
      <c r="Q63" s="1">
        <v>-3218.167724609375</v>
      </c>
      <c r="R63" s="1">
        <v>4326.2734375</v>
      </c>
    </row>
    <row r="64" spans="1:18" x14ac:dyDescent="0.2">
      <c r="A64" s="1">
        <v>-242.10893249511719</v>
      </c>
      <c r="B64" s="1">
        <v>-369.08651733398438</v>
      </c>
      <c r="C64" s="1">
        <v>-331.66061401367188</v>
      </c>
      <c r="F64" s="1">
        <v>-268.97491455078125</v>
      </c>
      <c r="G64" s="1">
        <v>149.52662658691406</v>
      </c>
      <c r="H64" s="1">
        <v>624.2017822265625</v>
      </c>
      <c r="K64" s="1">
        <v>65.538551330566406</v>
      </c>
      <c r="L64" s="1">
        <v>-241.45602416992188</v>
      </c>
      <c r="M64" s="1">
        <v>562.6640625</v>
      </c>
      <c r="P64" s="1">
        <v>-260.45245361328125</v>
      </c>
      <c r="Q64" s="1">
        <v>-3822.2998046875</v>
      </c>
      <c r="R64" s="1">
        <v>4645.91015625</v>
      </c>
    </row>
    <row r="65" spans="1:18" x14ac:dyDescent="0.2">
      <c r="A65" s="1">
        <v>267.6953125</v>
      </c>
      <c r="B65" s="1">
        <v>-197.55723571777344</v>
      </c>
      <c r="C65" s="1">
        <v>-242.58238220214844</v>
      </c>
      <c r="F65" s="1">
        <v>-469.22610473632812</v>
      </c>
      <c r="G65" s="1">
        <v>246.78227233886719</v>
      </c>
      <c r="H65" s="1">
        <v>828.90826416015625</v>
      </c>
      <c r="K65" s="1">
        <v>366.68316650390625</v>
      </c>
      <c r="L65" s="1">
        <v>-125.65730285644531</v>
      </c>
      <c r="M65" s="1">
        <v>605.71923828125</v>
      </c>
      <c r="P65" s="1">
        <v>58.317844390869141</v>
      </c>
      <c r="Q65" s="1">
        <v>-3820.04541015625</v>
      </c>
      <c r="R65" s="1">
        <v>5057.0625</v>
      </c>
    </row>
    <row r="66" spans="1:18" x14ac:dyDescent="0.2">
      <c r="A66" s="1">
        <v>64.257377624511719</v>
      </c>
      <c r="B66" s="1">
        <v>149.5892333984375</v>
      </c>
      <c r="C66" s="1">
        <v>-108.97289276123047</v>
      </c>
      <c r="F66" s="1">
        <v>-836.414794921875</v>
      </c>
      <c r="G66" s="1">
        <v>103.69416046142578</v>
      </c>
      <c r="H66" s="1">
        <v>1129.82568359375</v>
      </c>
      <c r="K66" s="1">
        <v>607.2496337890625</v>
      </c>
      <c r="L66" s="1">
        <v>-52.467952728271484</v>
      </c>
      <c r="M66" s="1">
        <v>528.9853515625</v>
      </c>
      <c r="P66" s="1">
        <v>-393.997802734375</v>
      </c>
      <c r="Q66" s="1">
        <v>-3948.146240234375</v>
      </c>
      <c r="R66" s="1">
        <v>4971.7578125</v>
      </c>
    </row>
    <row r="67" spans="1:18" x14ac:dyDescent="0.2">
      <c r="A67" s="1">
        <v>37.995220184326172</v>
      </c>
      <c r="B67" s="1">
        <v>262.5950927734375</v>
      </c>
      <c r="C67" s="1">
        <v>52.144412994384766</v>
      </c>
      <c r="F67" s="1">
        <v>-917.47845458984375</v>
      </c>
      <c r="G67" s="1">
        <v>-16.487703323364258</v>
      </c>
      <c r="H67" s="1">
        <v>724.21966552734375</v>
      </c>
      <c r="K67" s="1">
        <v>487.63641357421875</v>
      </c>
      <c r="L67" s="1">
        <v>109.76045227050781</v>
      </c>
      <c r="M67" s="1">
        <v>13.95458984375</v>
      </c>
      <c r="P67" s="1">
        <v>-686.80560302734375</v>
      </c>
      <c r="Q67" s="1">
        <v>-4521.7001953125</v>
      </c>
      <c r="R67" s="1">
        <v>5098.890625</v>
      </c>
    </row>
    <row r="68" spans="1:18" x14ac:dyDescent="0.2">
      <c r="A68" s="1">
        <v>171.26040649414062</v>
      </c>
      <c r="B68" s="1">
        <v>176.95248413085938</v>
      </c>
      <c r="C68" s="1">
        <v>128.48828125</v>
      </c>
      <c r="F68" s="1">
        <v>-706.8233642578125</v>
      </c>
      <c r="G68" s="1">
        <v>-807.4742431640625</v>
      </c>
      <c r="H68" s="1">
        <v>361.0745849609375</v>
      </c>
      <c r="K68" s="1">
        <v>106.74977874755859</v>
      </c>
      <c r="L68" s="1">
        <v>291.75448608398438</v>
      </c>
      <c r="M68" s="1">
        <v>61.384765625</v>
      </c>
      <c r="P68" s="1">
        <v>-487.66424560546875</v>
      </c>
      <c r="Q68" s="1">
        <v>-4926.67626953125</v>
      </c>
      <c r="R68" s="1">
        <v>5766.015625</v>
      </c>
    </row>
    <row r="69" spans="1:18" x14ac:dyDescent="0.2">
      <c r="A69" s="1">
        <v>438.66622924804688</v>
      </c>
      <c r="B69" s="1">
        <v>25.544269561767578</v>
      </c>
      <c r="C69" s="1">
        <v>80.035270690917969</v>
      </c>
      <c r="F69" s="1">
        <v>-781.40264892578125</v>
      </c>
      <c r="G69" s="1">
        <v>-1049.4764404296875</v>
      </c>
      <c r="H69" s="1">
        <v>183.40608215332031</v>
      </c>
      <c r="K69" s="1">
        <v>-6.1915593147277832</v>
      </c>
      <c r="L69" s="1">
        <v>298.29541015625</v>
      </c>
      <c r="M69" s="1">
        <v>397.74462890625</v>
      </c>
      <c r="P69" s="1">
        <v>-549.6907958984375</v>
      </c>
      <c r="Q69" s="1">
        <v>-4705.6015625</v>
      </c>
      <c r="R69" s="1">
        <v>5565.14453125</v>
      </c>
    </row>
    <row r="70" spans="1:18" x14ac:dyDescent="0.2">
      <c r="A70" s="1">
        <v>601.669677734375</v>
      </c>
      <c r="B70" s="1">
        <v>178.62042236328125</v>
      </c>
      <c r="C70" s="1">
        <v>201.62132263183594</v>
      </c>
      <c r="F70" s="1">
        <v>-1104.20068359375</v>
      </c>
      <c r="G70" s="1">
        <v>-541.25982666015625</v>
      </c>
      <c r="H70" s="1">
        <v>-113.94993591308594</v>
      </c>
      <c r="K70" s="1">
        <v>-57.500080108642578</v>
      </c>
      <c r="L70" s="1">
        <v>490.9769287109375</v>
      </c>
      <c r="M70" s="1">
        <v>540.3466796875</v>
      </c>
      <c r="P70" s="1">
        <v>-101.77597808837891</v>
      </c>
      <c r="Q70" s="1">
        <v>-4622.65185546875</v>
      </c>
      <c r="R70" s="1">
        <v>4447.4296875</v>
      </c>
    </row>
    <row r="71" spans="1:18" x14ac:dyDescent="0.2">
      <c r="A71" s="1">
        <v>829.19659423828125</v>
      </c>
      <c r="B71" s="1">
        <v>539.50128173828125</v>
      </c>
      <c r="C71" s="1">
        <v>234.69175720214844</v>
      </c>
      <c r="F71" s="1">
        <v>-1127.248779296875</v>
      </c>
      <c r="G71" s="1">
        <v>-327.42608642578125</v>
      </c>
      <c r="H71" s="1">
        <v>21.990926742553711</v>
      </c>
      <c r="K71" s="1">
        <v>252.48826599121094</v>
      </c>
      <c r="L71" s="1">
        <v>784.174072265625</v>
      </c>
      <c r="M71" s="1">
        <v>453.29248046875</v>
      </c>
      <c r="P71" s="1">
        <v>164.56072998046875</v>
      </c>
      <c r="Q71" s="1">
        <v>-4723.55712890625</v>
      </c>
      <c r="R71" s="1">
        <v>4100.29296875</v>
      </c>
    </row>
    <row r="72" spans="1:18" x14ac:dyDescent="0.2">
      <c r="A72" s="1">
        <v>609.9969482421875</v>
      </c>
      <c r="B72" s="1">
        <v>726.53057861328125</v>
      </c>
      <c r="C72" s="1">
        <v>595.12939453125</v>
      </c>
      <c r="F72" s="1">
        <v>-1368.0780029296875</v>
      </c>
      <c r="G72" s="1">
        <v>-419.59231567382812</v>
      </c>
      <c r="H72" s="1">
        <v>455.40835571289062</v>
      </c>
      <c r="K72" s="1">
        <v>813.98443603515625</v>
      </c>
      <c r="L72" s="1">
        <v>877.2618408203125</v>
      </c>
      <c r="M72" s="1">
        <v>636.43359375</v>
      </c>
      <c r="P72" s="1">
        <v>46.713836669921875</v>
      </c>
      <c r="Q72" s="1">
        <v>-4776.193359375</v>
      </c>
      <c r="R72" s="1">
        <v>4350.22265625</v>
      </c>
    </row>
    <row r="73" spans="1:18" x14ac:dyDescent="0.2">
      <c r="A73" s="1">
        <v>239.34024047851562</v>
      </c>
      <c r="B73" s="1">
        <v>890.716064453125</v>
      </c>
      <c r="C73" s="1">
        <v>1354.6060791015625</v>
      </c>
      <c r="F73" s="1">
        <v>-1161.4854736328125</v>
      </c>
      <c r="G73" s="1">
        <v>-250.78981018066406</v>
      </c>
      <c r="H73" s="1">
        <v>313.80233764648438</v>
      </c>
      <c r="K73" s="1">
        <v>728.3868408203125</v>
      </c>
      <c r="L73" s="1">
        <v>1236.732421875</v>
      </c>
      <c r="M73" s="1">
        <v>934.43408203125</v>
      </c>
      <c r="P73" s="1">
        <v>-217.179931640625</v>
      </c>
      <c r="Q73" s="1">
        <v>-4895.53662109375</v>
      </c>
      <c r="R73" s="1">
        <v>4231.31640625</v>
      </c>
    </row>
    <row r="74" spans="1:18" x14ac:dyDescent="0.2">
      <c r="A74" s="1">
        <v>299.64840698242188</v>
      </c>
      <c r="B74" s="1">
        <v>1033.675048828125</v>
      </c>
      <c r="C74" s="1">
        <v>1804.035888671875</v>
      </c>
      <c r="F74" s="1">
        <v>-1053.2991943359375</v>
      </c>
      <c r="G74" s="1">
        <v>-378.8623046875</v>
      </c>
      <c r="H74" s="1">
        <v>381.39163208007812</v>
      </c>
      <c r="K74" s="1">
        <v>943.96112060546875</v>
      </c>
      <c r="L74" s="1">
        <v>2083.8515625</v>
      </c>
      <c r="M74" s="1">
        <v>1202.1142578125</v>
      </c>
      <c r="P74" s="1">
        <v>-165.99166870117188</v>
      </c>
      <c r="Q74" s="1">
        <v>-4762.3681640625</v>
      </c>
      <c r="R74" s="1">
        <v>4080.7421875</v>
      </c>
    </row>
    <row r="75" spans="1:18" x14ac:dyDescent="0.2">
      <c r="P75" s="2"/>
      <c r="Q75" s="2"/>
      <c r="R75" s="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sample1</vt:lpstr>
      <vt:lpstr>sample4</vt:lpstr>
      <vt:lpstr>sample5</vt:lpstr>
      <vt:lpstr>sample6</vt:lpstr>
      <vt:lpstr>sample8</vt:lpstr>
      <vt:lpstr>sample9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Microsoft Office User</cp:lastModifiedBy>
  <dcterms:created xsi:type="dcterms:W3CDTF">2021-05-12T12:50:53Z</dcterms:created>
  <dcterms:modified xsi:type="dcterms:W3CDTF">2021-06-15T05:37:05Z</dcterms:modified>
</cp:coreProperties>
</file>